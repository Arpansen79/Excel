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an\OneDrive\Desktop\"/>
    </mc:Choice>
  </mc:AlternateContent>
  <xr:revisionPtr revIDLastSave="0" documentId="8_{1C0E7AB0-31A6-47A7-A3E2-A7FA9CF39673}" xr6:coauthVersionLast="47" xr6:coauthVersionMax="47" xr10:uidLastSave="{00000000-0000-0000-0000-000000000000}"/>
  <bookViews>
    <workbookView xWindow="-110" yWindow="-110" windowWidth="19420" windowHeight="10300" activeTab="4" xr2:uid="{BEFF72F2-4FE5-4771-8391-03479683E7C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5" l="1"/>
  <c r="C11" i="5"/>
  <c r="C7" i="5"/>
  <c r="C6" i="5"/>
  <c r="C14" i="4"/>
  <c r="C15" i="4"/>
  <c r="C16" i="4"/>
  <c r="C13" i="4"/>
  <c r="B8" i="4"/>
  <c r="E14" i="3"/>
  <c r="E10" i="3"/>
  <c r="D6" i="3"/>
  <c r="C34" i="2"/>
  <c r="C30" i="2"/>
  <c r="C26" i="2"/>
  <c r="C22" i="2"/>
  <c r="C18" i="2"/>
  <c r="B40" i="1"/>
  <c r="D35" i="1"/>
  <c r="D32" i="1"/>
  <c r="D29" i="1"/>
  <c r="D28" i="1"/>
  <c r="C25" i="1"/>
</calcChain>
</file>

<file path=xl/sharedStrings.xml><?xml version="1.0" encoding="utf-8"?>
<sst xmlns="http://schemas.openxmlformats.org/spreadsheetml/2006/main" count="204" uniqueCount="131">
  <si>
    <t>Employee</t>
  </si>
  <si>
    <t>Department</t>
  </si>
  <si>
    <t>Salary</t>
  </si>
  <si>
    <t>Sonu</t>
  </si>
  <si>
    <t>IT</t>
  </si>
  <si>
    <t>Pranav</t>
  </si>
  <si>
    <t>HR</t>
  </si>
  <si>
    <t>Rahul</t>
  </si>
  <si>
    <t>Step 1: Sort by "Department" (A-Z)</t>
  </si>
  <si>
    <t>Step 2: Sort by "Salary" (Largest to Smallest)</t>
  </si>
  <si>
    <t>2.How would you sort the following dataset first by "Department" (A-Z) and then by "Salary" (Largest to Smallest)? Write a step-by-step approach.</t>
  </si>
  <si>
    <t>3.xplain the use of text functions such as TRIM , LEFT, RIGHT, MID, and CONCAT in data cleaning.</t>
  </si>
  <si>
    <t>Input (Messy Data)</t>
  </si>
  <si>
    <t>Formula</t>
  </si>
  <si>
    <t>Result (Clean Data)</t>
  </si>
  <si>
    <t xml:space="preserve"> =TRIM(A25)</t>
  </si>
  <si>
    <t>"   John Smith "</t>
  </si>
  <si>
    <t>Function</t>
  </si>
  <si>
    <t>Input</t>
  </si>
  <si>
    <t>Result</t>
  </si>
  <si>
    <t>Usage</t>
  </si>
  <si>
    <t>LEFT</t>
  </si>
  <si>
    <t>Extracting the category prefix.</t>
  </si>
  <si>
    <t>RIGHT</t>
  </si>
  <si>
    <t>Extracting the year.</t>
  </si>
  <si>
    <t>ID-5432</t>
  </si>
  <si>
    <t>Batch_2024</t>
  </si>
  <si>
    <t xml:space="preserve"> =LEFT(B28,2)</t>
  </si>
  <si>
    <t xml:space="preserve"> =RIGHT(B29,4)</t>
  </si>
  <si>
    <t>Logic</t>
  </si>
  <si>
    <t>Start at the 6th character (the '9') and take 4 characters.</t>
  </si>
  <si>
    <t>PROD-9988-USA</t>
  </si>
  <si>
    <t xml:space="preserve"> =MID(A32,6,4)</t>
  </si>
  <si>
    <t>First Name</t>
  </si>
  <si>
    <t>Last Name</t>
  </si>
  <si>
    <t xml:space="preserve"> =CONCAT(A2, " ", B2)</t>
  </si>
  <si>
    <t>Arpan</t>
  </si>
  <si>
    <t>Sen</t>
  </si>
  <si>
    <t>4. What is the role of date functions like TODAY in managing datasets?</t>
  </si>
  <si>
    <t>A</t>
  </si>
  <si>
    <t>B</t>
  </si>
  <si>
    <t>Submission Deadline</t>
  </si>
  <si>
    <t>Days Left</t>
  </si>
  <si>
    <t xml:space="preserve"> =TODAY()</t>
  </si>
  <si>
    <t>Customer Name</t>
  </si>
  <si>
    <t>Product Name</t>
  </si>
  <si>
    <t>Category</t>
  </si>
  <si>
    <t>Quantity</t>
  </si>
  <si>
    <t>Unit Price ($)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</si>
  <si>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</si>
  <si>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</si>
  <si>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</si>
  <si>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</si>
  <si>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</si>
  <si>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</si>
  <si>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</si>
  <si>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</si>
  <si>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</si>
  <si>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Michael Johnson</t>
  </si>
  <si>
    <t>Table Lamp</t>
  </si>
  <si>
    <t>Home Decor</t>
  </si>
  <si>
    <t>Daniel Johnson</t>
  </si>
  <si>
    <t>Backpack</t>
  </si>
  <si>
    <t>Isabella Davis</t>
  </si>
  <si>
    <t>Headphones</t>
  </si>
  <si>
    <t>Jane Davis</t>
  </si>
  <si>
    <t>Alex Wilson</t>
  </si>
  <si>
    <t>T-shirt</t>
  </si>
  <si>
    <t>5. Apply Data Validation to restrict Quantity values to only whole numbers between 1 and 10.
A. Configure an input message that appears when a user selects a cell in the "Quantity" column, explaining:_x000B_ "Please enter a whole number between 1 and 10."
B. Set up an error alert message that triggers if the user enters a number less than 1 or greater than 10, showing:
 "Invalid input! The quantity must be a whole number between 1 and 10."</t>
  </si>
  <si>
    <t>6. Understand and apply fundamental text functions like LEFT, RIGHT, MID, and LEN.</t>
  </si>
  <si>
    <t>Extract the first 5 characters from the string "ExcelTipsAreGreat" using the LEFT function.</t>
  </si>
  <si>
    <t>ExcelTipsAreGreat</t>
  </si>
  <si>
    <t xml:space="preserve"> =LEFT(A18,5)</t>
  </si>
  <si>
    <t xml:space="preserve">Extract the last 4 characters from "DataAnalysis.xlsx" using the RIGHT function. </t>
  </si>
  <si>
    <t>DataAnalysis.xlsx</t>
  </si>
  <si>
    <t xml:space="preserve"> =RIGHT(A22,4)</t>
  </si>
  <si>
    <t>Extract the substring "Tips" from "ExcelTipsAreGreat" using the MID function.</t>
  </si>
  <si>
    <t xml:space="preserve"> =MID(A26,6,4)</t>
  </si>
  <si>
    <t>Count the total number of characters in the string "Hello World!" using the LEN function.</t>
  </si>
  <si>
    <t>Hello World!</t>
  </si>
  <si>
    <t xml:space="preserve"> =LEN(A30)</t>
  </si>
  <si>
    <t>Create a formula to extract the middle 6 characters from "12345-67890-ABCDE".</t>
  </si>
  <si>
    <t>12345-67890-ABCDE</t>
  </si>
  <si>
    <t>7. Understand how to combine text using CONCAT, TEXTJOIN, and the &amp; operator.</t>
  </si>
  <si>
    <t xml:space="preserve">Use CONCAT to combine "Hello" and "World" with a space in between. </t>
  </si>
  <si>
    <t>Hello</t>
  </si>
  <si>
    <t>World</t>
  </si>
  <si>
    <t xml:space="preserve"> =CONCAT(A6," ",B6)</t>
  </si>
  <si>
    <t>Combine "Apple", "Banana", and "Cherry" into a single string separated by commas using TEXTJOIN.</t>
  </si>
  <si>
    <t>Apple</t>
  </si>
  <si>
    <t>Banana</t>
  </si>
  <si>
    <t>Cherry</t>
  </si>
  <si>
    <t xml:space="preserve"> =TEXTJOIN(", ",0,A10,B10,C10)</t>
  </si>
  <si>
    <t>Use the &amp; operator to create the string "2025: Excel Functions" by combining "2025", ": ", and "Excel Functions".</t>
  </si>
  <si>
    <t>:</t>
  </si>
  <si>
    <t>Excel Functions</t>
  </si>
  <si>
    <t xml:space="preserve"> ="2025" &amp; ": " &amp; "Excel Functions"</t>
  </si>
  <si>
    <t>Sunday</t>
  </si>
  <si>
    <t>Monday</t>
  </si>
  <si>
    <t>Tuesday</t>
  </si>
  <si>
    <t>Wednesday</t>
  </si>
  <si>
    <t>Thursday</t>
  </si>
  <si>
    <t>Create a comma-separated list from the range A1:A5 using TEXTJOIN.</t>
  </si>
  <si>
    <t xml:space="preserve"> =TEXTJOIN(", ",TRUE,A1:A5)</t>
  </si>
  <si>
    <t>C</t>
  </si>
  <si>
    <t>Full Name (Result)</t>
  </si>
  <si>
    <t>Priya</t>
  </si>
  <si>
    <t>Das</t>
  </si>
  <si>
    <t>Verma</t>
  </si>
  <si>
    <t>Amit</t>
  </si>
  <si>
    <t>Roy</t>
  </si>
  <si>
    <t>`</t>
  </si>
  <si>
    <t>Combine first names in column A with last names in column B to create full names in column C.</t>
  </si>
  <si>
    <t>8. Understanding TODAY() and NOW()</t>
  </si>
  <si>
    <t>Activity</t>
  </si>
  <si>
    <t>Target Date/Time</t>
  </si>
  <si>
    <t>Formula Used</t>
  </si>
  <si>
    <t>Project Deadline</t>
  </si>
  <si>
    <t>Shift Started</t>
  </si>
  <si>
    <t>Curent Date/Time</t>
  </si>
  <si>
    <t xml:space="preserve"> =NOW()</t>
  </si>
  <si>
    <t>Deadline vs. Shift Tracker</t>
  </si>
  <si>
    <t xml:space="preserve"> =A1-TODAY()</t>
  </si>
  <si>
    <t>If cell A1 contains the date 2025-06-10, write a formula using TODAY() to determine how many days are left until that date.</t>
  </si>
  <si>
    <t>VISITOR PASS</t>
  </si>
  <si>
    <t>Name:</t>
  </si>
  <si>
    <t>John Doe</t>
  </si>
  <si>
    <t>Entry Time:</t>
  </si>
  <si>
    <t>Write an Excel formula using NOW() to display the current date and time in the format MM/DD/YYYY HH:MM AM/PM.</t>
  </si>
  <si>
    <t xml:space="preserve"> =TEXT(NOW(), "MM/DD/YYYY HH:MM AM/PM")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</si>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</sst>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yyyy\-mm\-dd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10" xfId="0" applyBorder="1"/>
    <xf numFmtId="0" fontId="0" fillId="3" borderId="1" xfId="0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indent="1"/>
    </xf>
    <xf numFmtId="14" fontId="0" fillId="3" borderId="1" xfId="0" applyNumberFormat="1" applyFill="1" applyBorder="1" applyAlignment="1">
      <alignment horizontal="center" vertical="center"/>
    </xf>
    <xf numFmtId="0" fontId="3" fillId="0" borderId="14" xfId="0" applyFont="1" applyBorder="1" applyAlignment="1">
      <alignment vertical="center" wrapText="1" readingOrder="1"/>
    </xf>
    <xf numFmtId="0" fontId="3" fillId="0" borderId="15" xfId="0" applyFont="1" applyBorder="1" applyAlignment="1">
      <alignment vertical="center" wrapText="1" readingOrder="1"/>
    </xf>
    <xf numFmtId="0" fontId="3" fillId="0" borderId="16" xfId="0" applyFont="1" applyBorder="1" applyAlignment="1">
      <alignment vertical="center" wrapText="1" readingOrder="1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7" xfId="0" applyFont="1" applyBorder="1" applyAlignment="1">
      <alignment horizontal="center" vertical="center" wrapText="1" readingOrder="1"/>
    </xf>
    <xf numFmtId="0" fontId="2" fillId="0" borderId="18" xfId="0" applyFont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center" vertical="center" wrapText="1" readingOrder="1"/>
    </xf>
    <xf numFmtId="0" fontId="0" fillId="0" borderId="0" xfId="0" applyFont="1" applyAlignment="1">
      <alignment horizontal="left" vertical="top" wrapText="1"/>
    </xf>
    <xf numFmtId="0" fontId="3" fillId="2" borderId="13" xfId="0" applyFont="1" applyFill="1" applyBorder="1" applyAlignment="1">
      <alignment horizontal="center" vertical="center" wrapText="1" readingOrder="1"/>
    </xf>
    <xf numFmtId="0" fontId="3" fillId="2" borderId="21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left" vertical="top" wrapText="1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0" fillId="0" borderId="20" xfId="0" applyBorder="1"/>
    <xf numFmtId="0" fontId="3" fillId="0" borderId="15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15" fontId="2" fillId="0" borderId="1" xfId="0" applyNumberFormat="1" applyFont="1" applyBorder="1" applyAlignment="1">
      <alignment horizontal="center" vertical="center" wrapText="1" readingOrder="1"/>
    </xf>
    <xf numFmtId="14" fontId="4" fillId="0" borderId="1" xfId="0" applyNumberFormat="1" applyFont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20" xfId="0" applyFont="1" applyFill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14" fontId="0" fillId="0" borderId="3" xfId="0" applyNumberFormat="1" applyBorder="1" applyAlignment="1">
      <alignment horizontal="center"/>
    </xf>
    <xf numFmtId="0" fontId="3" fillId="5" borderId="4" xfId="0" applyFont="1" applyFill="1" applyBorder="1" applyAlignment="1">
      <alignment horizontal="center" vertical="center" wrapText="1" readingOrder="1"/>
    </xf>
    <xf numFmtId="0" fontId="3" fillId="5" borderId="5" xfId="0" applyFont="1" applyFill="1" applyBorder="1" applyAlignment="1">
      <alignment horizontal="center" vertical="center" wrapText="1" readingOrder="1"/>
    </xf>
    <xf numFmtId="0" fontId="3" fillId="5" borderId="6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5" borderId="25" xfId="0" applyFont="1" applyFill="1" applyBorder="1" applyAlignment="1">
      <alignment horizontal="center" vertical="center" wrapText="1" readingOrder="1"/>
    </xf>
    <xf numFmtId="173" fontId="2" fillId="3" borderId="1" xfId="0" applyNumberFormat="1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1" fontId="3" fillId="3" borderId="1" xfId="0" applyNumberFormat="1" applyFont="1" applyFill="1" applyBorder="1" applyAlignment="1">
      <alignment horizontal="center" vertical="center" wrapText="1" readingOrder="1"/>
    </xf>
    <xf numFmtId="14" fontId="0" fillId="3" borderId="1" xfId="0" applyNumberFormat="1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 wrapText="1" readingOrder="1"/>
    </xf>
    <xf numFmtId="0" fontId="2" fillId="6" borderId="11" xfId="0" applyFont="1" applyFill="1" applyBorder="1" applyAlignment="1">
      <alignment horizontal="center" vertical="center" wrapText="1" readingOrder="1"/>
    </xf>
    <xf numFmtId="0" fontId="3" fillId="5" borderId="3" xfId="0" applyFont="1" applyFill="1" applyBorder="1" applyAlignment="1">
      <alignment horizontal="center" vertical="center" wrapText="1" readingOrder="1"/>
    </xf>
    <xf numFmtId="0" fontId="3" fillId="5" borderId="2" xfId="0" applyFont="1" applyFill="1" applyBorder="1" applyAlignment="1">
      <alignment horizontal="center" vertical="center" wrapText="1" readingOrder="1"/>
    </xf>
    <xf numFmtId="0" fontId="3" fillId="7" borderId="2" xfId="0" applyFont="1" applyFill="1" applyBorder="1" applyAlignment="1">
      <alignment horizontal="center" vertical="center" wrapText="1" readingOrder="1"/>
    </xf>
    <xf numFmtId="15" fontId="2" fillId="7" borderId="1" xfId="0" applyNumberFormat="1" applyFont="1" applyFill="1" applyBorder="1" applyAlignment="1">
      <alignment horizontal="center" vertical="center" wrapText="1" readingOrder="1"/>
    </xf>
    <xf numFmtId="14" fontId="4" fillId="7" borderId="1" xfId="0" applyNumberFormat="1" applyFont="1" applyFill="1" applyBorder="1" applyAlignment="1">
      <alignment horizontal="center" vertical="center" wrapText="1" readingOrder="1"/>
    </xf>
    <xf numFmtId="14" fontId="0" fillId="7" borderId="3" xfId="0" applyNumberFormat="1" applyFill="1" applyBorder="1" applyAlignment="1">
      <alignment horizontal="center"/>
    </xf>
  </cellXfs>
  <cellStyles count="1">
    <cellStyle name="Normal" xfId="0" builtinId="0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medium">
          <color rgb="FF000000"/>
        </bottom>
      </border>
    </dxf>
    <dxf>
      <border diagonalUp="0" diagonalDown="0" outline="0">
        <left/>
        <right/>
        <top/>
        <bottom style="thin">
          <color indexed="64"/>
        </bottom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E988A6-056F-45F8-91AD-68173469D57B}" name="Table1" displayName="Table1" ref="A3:C6" totalsRowShown="0" headerRowBorderDxfId="44" tableBorderDxfId="43" totalsRowBorderDxfId="42">
  <autoFilter ref="A3:C6" xr:uid="{14E988A6-056F-45F8-91AD-68173469D57B}">
    <filterColumn colId="0" hiddenButton="1"/>
    <filterColumn colId="1" hiddenButton="1"/>
    <filterColumn colId="2" hiddenButton="1"/>
  </autoFilter>
  <tableColumns count="3">
    <tableColumn id="1" xr3:uid="{104F5445-C9E3-44D9-94DC-1384D20E9761}" name="Employee" dataDxfId="41"/>
    <tableColumn id="2" xr3:uid="{7CF6D88B-F2E1-42EB-B981-9243B6B29A3E}" name="Department" dataDxfId="40"/>
    <tableColumn id="3" xr3:uid="{1B1EFBF3-31E2-4C14-88AB-75897F3E669A}" name="Salary" dataDxf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02110A-8E02-4684-B39F-59E4B728A56E}" name="Table13" displayName="Table13" ref="A10:C13" totalsRowShown="0" headerRowBorderDxfId="38" tableBorderDxfId="37" totalsRowBorderDxfId="36">
  <autoFilter ref="A10:C13" xr:uid="{CE02110A-8E02-4684-B39F-59E4B728A56E}"/>
  <sortState xmlns:xlrd2="http://schemas.microsoft.com/office/spreadsheetml/2017/richdata2" ref="A11:C13">
    <sortCondition ref="B10:B13"/>
  </sortState>
  <tableColumns count="3">
    <tableColumn id="1" xr3:uid="{AE72892F-8F27-4077-9020-94EE4CDCE564}" name="Employee" dataDxfId="35"/>
    <tableColumn id="2" xr3:uid="{F5A15B1E-1502-4172-9496-271CD05257DC}" name="Department" dataDxfId="34"/>
    <tableColumn id="3" xr3:uid="{F471AC01-5ED8-4589-A77B-5A6E068D4671}" name="Salary" data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7AF8B1-FC06-4B9F-A674-B42C9EB61A70}" name="Table134" displayName="Table134" ref="A17:C20" totalsRowShown="0" headerRowBorderDxfId="32" tableBorderDxfId="31" totalsRowBorderDxfId="30">
  <autoFilter ref="A17:C20" xr:uid="{197AF8B1-FC06-4B9F-A674-B42C9EB61A70}"/>
  <sortState xmlns:xlrd2="http://schemas.microsoft.com/office/spreadsheetml/2017/richdata2" ref="A18:C20">
    <sortCondition descending="1" ref="C17:C20"/>
  </sortState>
  <tableColumns count="3">
    <tableColumn id="1" xr3:uid="{67899A7B-57D3-4542-A389-B0304C61AA13}" name="Employee" dataDxfId="29"/>
    <tableColumn id="2" xr3:uid="{907284BD-3276-420E-B49F-300F94ED9588}" name="Department" dataDxfId="28"/>
    <tableColumn id="3" xr3:uid="{D54E6F20-FE05-419B-9BD7-044C93267F55}" name="Salary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433690-2E7B-4AF1-9750-94CBD073472B}" name="Table4" displayName="Table4" ref="A3:E12" totalsRowShown="0" headerRowDxfId="23" dataDxfId="17" headerRowBorderDxfId="25" tableBorderDxfId="26" totalsRowBorderDxfId="24">
  <autoFilter ref="A3:E12" xr:uid="{D8433690-2E7B-4AF1-9750-94CBD073472B}"/>
  <tableColumns count="5">
    <tableColumn id="1" xr3:uid="{666842EA-6E3A-4F8C-B741-0095823C1876}" name="Customer Name" dataDxfId="22"/>
    <tableColumn id="2" xr3:uid="{2D937180-024C-4C12-9505-5CD0B46439C2}" name="Product Name" dataDxfId="21"/>
    <tableColumn id="3" xr3:uid="{4A9A5B4C-5A82-4998-9EF4-A677D35A5944}" name="Category" dataDxfId="20"/>
    <tableColumn id="4" xr3:uid="{4C16A913-7741-46CA-A2E1-E2A67A649D6B}" name="Quantity" dataDxfId="19"/>
    <tableColumn id="5" xr3:uid="{1DFD2932-7B19-438B-AA41-A8E57DB0C6CC}" name="Unit Price ($)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A1C523-881D-463F-9250-D2AF7DF02E1F}" name="Table5" displayName="Table5" ref="A1:A5" headerRowCount="0" totalsRowShown="0" headerRowBorderDxfId="15" tableBorderDxfId="16" totalsRowBorderDxfId="14">
  <tableColumns count="1">
    <tableColumn id="1" xr3:uid="{17D80F4D-A6B6-4099-855D-AF25C5E2AFC2}" name="Column1" headerRowDxfId="12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51FEB0-DDB8-4C31-96F9-91FF9B9A8DED}" name="Table7" displayName="Table7" ref="A11:C16" totalsRowShown="0" headerRowDxfId="5" dataDxfId="6" headerRowBorderDxfId="10" tableBorderDxfId="11">
  <autoFilter ref="A11:C16" xr:uid="{A451FEB0-DDB8-4C31-96F9-91FF9B9A8DED}">
    <filterColumn colId="0" hiddenButton="1"/>
    <filterColumn colId="1" hiddenButton="1"/>
    <filterColumn colId="2" hiddenButton="1"/>
  </autoFilter>
  <tableColumns count="3">
    <tableColumn id="1" xr3:uid="{4E56443B-B3E2-4B25-B18A-4FE1795BFF9F}" name="A" dataDxfId="9"/>
    <tableColumn id="2" xr3:uid="{8A6AD981-D882-4DC8-A7ED-3724274B2A0F}" name="B" dataDxfId="8"/>
    <tableColumn id="3" xr3:uid="{B994D14D-5157-49FD-B694-740A1DBB4CB7}" name="C" dataDxfId="7">
      <calculatedColumnFormula>_xlfn.TEXTJOIN(" ",TRUE,A12,B12)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8437B6-6EA4-4976-97AB-C14F2ACF68A4}" name="Table9" displayName="Table9" ref="A5:D7" totalsRowShown="0" headerRowDxfId="0" headerRowBorderDxfId="3" tableBorderDxfId="4" totalsRowBorderDxfId="2">
  <autoFilter ref="A5:D7" xr:uid="{238437B6-6EA4-4976-97AB-C14F2ACF68A4}">
    <filterColumn colId="0" hiddenButton="1"/>
    <filterColumn colId="1" hiddenButton="1"/>
    <filterColumn colId="2" hiddenButton="1"/>
    <filterColumn colId="3" hiddenButton="1"/>
  </autoFilter>
  <tableColumns count="4">
    <tableColumn id="1" xr3:uid="{35089CE3-D9DC-4DAD-9DE7-25EB75B5EF32}" name="Activity" dataDxfId="1"/>
    <tableColumn id="2" xr3:uid="{225186E8-C95A-48FD-A95B-FA5342F98370}" name="Target Date/Time"/>
    <tableColumn id="3" xr3:uid="{30274AC8-2FAF-406E-B9D9-E39E5CB7FB7D}" name="Curent Date/Time">
      <calculatedColumnFormula>NOW()</calculatedColumnFormula>
    </tableColumn>
    <tableColumn id="4" xr3:uid="{13CC0CA6-5082-42C1-9EED-9D4C59F437A6}" name="Formula 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0373-D624-47A4-86F8-5B7C8968E700}">
  <dimension ref="A1:I40"/>
  <sheetViews>
    <sheetView showGridLines="0" topLeftCell="A30" workbookViewId="0">
      <selection activeCell="J25" sqref="J25"/>
    </sheetView>
  </sheetViews>
  <sheetFormatPr defaultRowHeight="14.5"/>
  <cols>
    <col min="1" max="1" width="18" customWidth="1"/>
    <col min="2" max="2" width="15.36328125" customWidth="1"/>
    <col min="3" max="3" width="21.90625" customWidth="1"/>
    <col min="5" max="5" width="25.90625" bestFit="1" customWidth="1"/>
  </cols>
  <sheetData>
    <row r="1" spans="1:9" ht="43.5" customHeight="1">
      <c r="A1" s="14" t="s">
        <v>10</v>
      </c>
      <c r="B1" s="14"/>
      <c r="C1" s="14"/>
      <c r="D1" s="14"/>
      <c r="E1" s="14"/>
      <c r="F1" s="14"/>
      <c r="G1" s="14"/>
      <c r="H1" s="14"/>
      <c r="I1" s="14"/>
    </row>
    <row r="3" spans="1:9">
      <c r="A3" s="4" t="s">
        <v>0</v>
      </c>
      <c r="B3" s="5" t="s">
        <v>1</v>
      </c>
      <c r="C3" s="6" t="s">
        <v>2</v>
      </c>
    </row>
    <row r="4" spans="1:9">
      <c r="A4" s="2" t="s">
        <v>3</v>
      </c>
      <c r="B4" s="1" t="s">
        <v>4</v>
      </c>
      <c r="C4" s="3">
        <v>4000</v>
      </c>
    </row>
    <row r="5" spans="1:9">
      <c r="A5" s="2" t="s">
        <v>5</v>
      </c>
      <c r="B5" s="1" t="s">
        <v>6</v>
      </c>
      <c r="C5" s="3">
        <v>5000</v>
      </c>
    </row>
    <row r="6" spans="1:9">
      <c r="A6" s="7" t="s">
        <v>7</v>
      </c>
      <c r="B6" s="8" t="s">
        <v>4</v>
      </c>
      <c r="C6" s="9">
        <v>2500</v>
      </c>
    </row>
    <row r="8" spans="1:9">
      <c r="A8" s="12" t="s">
        <v>8</v>
      </c>
      <c r="B8" s="12"/>
      <c r="C8" s="12"/>
    </row>
    <row r="10" spans="1:9">
      <c r="A10" s="4" t="s">
        <v>0</v>
      </c>
      <c r="B10" s="5" t="s">
        <v>1</v>
      </c>
      <c r="C10" s="6" t="s">
        <v>2</v>
      </c>
    </row>
    <row r="11" spans="1:9">
      <c r="A11" s="2" t="s">
        <v>5</v>
      </c>
      <c r="B11" s="1" t="s">
        <v>6</v>
      </c>
      <c r="C11" s="3">
        <v>5000</v>
      </c>
    </row>
    <row r="12" spans="1:9">
      <c r="A12" s="2" t="s">
        <v>3</v>
      </c>
      <c r="B12" s="1" t="s">
        <v>4</v>
      </c>
      <c r="C12" s="3">
        <v>4000</v>
      </c>
    </row>
    <row r="13" spans="1:9">
      <c r="A13" s="7" t="s">
        <v>7</v>
      </c>
      <c r="B13" s="8" t="s">
        <v>4</v>
      </c>
      <c r="C13" s="9">
        <v>2500</v>
      </c>
    </row>
    <row r="15" spans="1:9">
      <c r="A15" s="13" t="s">
        <v>9</v>
      </c>
      <c r="B15" s="13"/>
      <c r="C15" s="13"/>
    </row>
    <row r="17" spans="1:9">
      <c r="A17" s="4" t="s">
        <v>0</v>
      </c>
      <c r="B17" s="5" t="s">
        <v>1</v>
      </c>
      <c r="C17" s="6" t="s">
        <v>2</v>
      </c>
    </row>
    <row r="18" spans="1:9">
      <c r="A18" s="2" t="s">
        <v>5</v>
      </c>
      <c r="B18" s="1" t="s">
        <v>6</v>
      </c>
      <c r="C18" s="3">
        <v>5000</v>
      </c>
    </row>
    <row r="19" spans="1:9">
      <c r="A19" s="2" t="s">
        <v>3</v>
      </c>
      <c r="B19" s="1" t="s">
        <v>4</v>
      </c>
      <c r="C19" s="3">
        <v>4000</v>
      </c>
    </row>
    <row r="20" spans="1:9">
      <c r="A20" s="7" t="s">
        <v>7</v>
      </c>
      <c r="B20" s="8" t="s">
        <v>4</v>
      </c>
      <c r="C20" s="9">
        <v>2500</v>
      </c>
    </row>
    <row r="22" spans="1:9">
      <c r="A22" s="14" t="s">
        <v>11</v>
      </c>
      <c r="B22" s="14"/>
      <c r="C22" s="14"/>
      <c r="D22" s="14"/>
      <c r="E22" s="14"/>
      <c r="F22" s="14"/>
      <c r="G22" s="14"/>
      <c r="H22" s="14"/>
      <c r="I22" s="14"/>
    </row>
    <row r="24" spans="1:9">
      <c r="A24" s="10" t="s">
        <v>12</v>
      </c>
      <c r="B24" s="10" t="s">
        <v>13</v>
      </c>
      <c r="C24" s="10" t="s">
        <v>14</v>
      </c>
    </row>
    <row r="25" spans="1:9">
      <c r="A25" s="11" t="s">
        <v>16</v>
      </c>
      <c r="B25" s="11" t="s">
        <v>15</v>
      </c>
      <c r="C25" s="11" t="str">
        <f>TRIM(A25)</f>
        <v>" John Smith "</v>
      </c>
    </row>
    <row r="27" spans="1:9">
      <c r="A27" s="10" t="s">
        <v>17</v>
      </c>
      <c r="B27" s="10" t="s">
        <v>18</v>
      </c>
      <c r="C27" s="10" t="s">
        <v>13</v>
      </c>
      <c r="D27" s="10" t="s">
        <v>19</v>
      </c>
      <c r="E27" s="10" t="s">
        <v>20</v>
      </c>
    </row>
    <row r="28" spans="1:9">
      <c r="A28" s="11" t="s">
        <v>21</v>
      </c>
      <c r="B28" s="11" t="s">
        <v>25</v>
      </c>
      <c r="C28" s="11" t="s">
        <v>27</v>
      </c>
      <c r="D28" s="11" t="str">
        <f>LEFT(B28,2)</f>
        <v>ID</v>
      </c>
      <c r="E28" s="11" t="s">
        <v>22</v>
      </c>
    </row>
    <row r="29" spans="1:9">
      <c r="A29" s="11" t="s">
        <v>23</v>
      </c>
      <c r="B29" s="11" t="s">
        <v>26</v>
      </c>
      <c r="C29" s="11" t="s">
        <v>28</v>
      </c>
      <c r="D29" s="11" t="str">
        <f>RIGHT(B29,4)</f>
        <v>2024</v>
      </c>
      <c r="E29" s="11" t="s">
        <v>24</v>
      </c>
    </row>
    <row r="31" spans="1:9">
      <c r="A31" s="10" t="s">
        <v>18</v>
      </c>
      <c r="B31" s="10" t="s">
        <v>13</v>
      </c>
      <c r="C31" s="10" t="s">
        <v>29</v>
      </c>
      <c r="D31" s="10" t="s">
        <v>19</v>
      </c>
    </row>
    <row r="32" spans="1:9" ht="43.5">
      <c r="A32" s="11" t="s">
        <v>31</v>
      </c>
      <c r="B32" s="11" t="s">
        <v>32</v>
      </c>
      <c r="C32" s="16" t="s">
        <v>30</v>
      </c>
      <c r="D32" s="11" t="str">
        <f>MID(A32,6,4)</f>
        <v>9988</v>
      </c>
    </row>
    <row r="34" spans="1:4">
      <c r="A34" s="10" t="s">
        <v>33</v>
      </c>
      <c r="B34" s="10" t="s">
        <v>34</v>
      </c>
      <c r="C34" s="10" t="s">
        <v>13</v>
      </c>
      <c r="D34" s="10" t="s">
        <v>19</v>
      </c>
    </row>
    <row r="35" spans="1:4">
      <c r="A35" s="11" t="s">
        <v>36</v>
      </c>
      <c r="B35" s="11" t="s">
        <v>37</v>
      </c>
      <c r="C35" s="16" t="s">
        <v>35</v>
      </c>
      <c r="D35" s="11" t="str">
        <f>_xlfn.CONCAT(A35," ",B35)</f>
        <v>Arpan Sen</v>
      </c>
    </row>
    <row r="37" spans="1:4">
      <c r="A37" s="14" t="s">
        <v>38</v>
      </c>
      <c r="B37" s="14"/>
      <c r="C37" s="14"/>
      <c r="D37" s="14"/>
    </row>
    <row r="39" spans="1:4">
      <c r="A39" s="10" t="s">
        <v>18</v>
      </c>
      <c r="B39" s="10" t="s">
        <v>19</v>
      </c>
      <c r="C39" s="10" t="s">
        <v>13</v>
      </c>
    </row>
    <row r="40" spans="1:4">
      <c r="A40" s="11" t="s">
        <v>41</v>
      </c>
      <c r="B40" s="18">
        <f ca="1">TODAY()</f>
        <v>46037</v>
      </c>
      <c r="C40" s="16" t="s">
        <v>43</v>
      </c>
    </row>
  </sheetData>
  <mergeCells count="5">
    <mergeCell ref="A8:C8"/>
    <mergeCell ref="A15:C15"/>
    <mergeCell ref="A1:I1"/>
    <mergeCell ref="A22:I22"/>
    <mergeCell ref="A37:D37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F3AF-B0B5-456C-8C26-B44A81D1894A}">
  <dimension ref="A1:E34"/>
  <sheetViews>
    <sheetView showGridLines="0" topLeftCell="A25" zoomScale="70" zoomScaleNormal="70" workbookViewId="0">
      <selection activeCell="A32" sqref="A32:C34"/>
    </sheetView>
  </sheetViews>
  <sheetFormatPr defaultRowHeight="14.5"/>
  <cols>
    <col min="1" max="1" width="17.81640625" customWidth="1"/>
    <col min="2" max="2" width="24.54296875" customWidth="1"/>
    <col min="3" max="3" width="11.1796875" customWidth="1"/>
    <col min="4" max="4" width="10.54296875" customWidth="1"/>
    <col min="5" max="5" width="14.7265625" customWidth="1"/>
  </cols>
  <sheetData>
    <row r="1" spans="1:5" ht="110" customHeight="1">
      <c r="A1" s="28" t="s">
        <v>68</v>
      </c>
      <c r="B1" s="28"/>
      <c r="C1" s="28"/>
      <c r="D1" s="28"/>
      <c r="E1" s="28"/>
    </row>
    <row r="2" spans="1:5" hidden="1"/>
    <row r="3" spans="1:5" ht="15" thickBot="1">
      <c r="A3" s="19" t="s">
        <v>44</v>
      </c>
      <c r="B3" s="20" t="s">
        <v>45</v>
      </c>
      <c r="C3" s="20" t="s">
        <v>46</v>
      </c>
      <c r="D3" s="20" t="s">
        <v>47</v>
      </c>
      <c r="E3" s="21" t="s">
        <v>48</v>
      </c>
    </row>
    <row r="4" spans="1:5" ht="15" thickBot="1">
      <c r="A4" s="22" t="s">
        <v>49</v>
      </c>
      <c r="B4" s="23" t="s">
        <v>50</v>
      </c>
      <c r="C4" s="23" t="s">
        <v>51</v>
      </c>
      <c r="D4" s="23"/>
      <c r="E4" s="24">
        <v>81</v>
      </c>
    </row>
    <row r="5" spans="1:5" ht="15" thickBot="1">
      <c r="A5" s="22" t="s">
        <v>52</v>
      </c>
      <c r="B5" s="23" t="s">
        <v>53</v>
      </c>
      <c r="C5" s="23" t="s">
        <v>51</v>
      </c>
      <c r="D5" s="23"/>
      <c r="E5" s="24">
        <v>121</v>
      </c>
    </row>
    <row r="6" spans="1:5" ht="15" thickBot="1">
      <c r="A6" s="22" t="s">
        <v>54</v>
      </c>
      <c r="B6" s="23" t="s">
        <v>55</v>
      </c>
      <c r="C6" s="23" t="s">
        <v>56</v>
      </c>
      <c r="D6" s="23"/>
      <c r="E6" s="24">
        <v>239</v>
      </c>
    </row>
    <row r="7" spans="1:5" ht="15" thickBot="1">
      <c r="A7" s="22" t="s">
        <v>57</v>
      </c>
      <c r="B7" s="23" t="s">
        <v>50</v>
      </c>
      <c r="C7" s="23" t="s">
        <v>51</v>
      </c>
      <c r="D7" s="23"/>
      <c r="E7" s="24">
        <v>500</v>
      </c>
    </row>
    <row r="8" spans="1:5" ht="28.5" thickBot="1">
      <c r="A8" s="22" t="s">
        <v>58</v>
      </c>
      <c r="B8" s="23" t="s">
        <v>59</v>
      </c>
      <c r="C8" s="23" t="s">
        <v>60</v>
      </c>
      <c r="D8" s="23"/>
      <c r="E8" s="24">
        <v>423</v>
      </c>
    </row>
    <row r="9" spans="1:5" ht="15" thickBot="1">
      <c r="A9" s="22" t="s">
        <v>61</v>
      </c>
      <c r="B9" s="23" t="s">
        <v>62</v>
      </c>
      <c r="C9" s="23" t="s">
        <v>51</v>
      </c>
      <c r="D9" s="23"/>
      <c r="E9" s="24">
        <v>160</v>
      </c>
    </row>
    <row r="10" spans="1:5" ht="15" thickBot="1">
      <c r="A10" s="22" t="s">
        <v>63</v>
      </c>
      <c r="B10" s="23" t="s">
        <v>64</v>
      </c>
      <c r="C10" s="23" t="s">
        <v>51</v>
      </c>
      <c r="D10" s="23"/>
      <c r="E10" s="24">
        <v>348</v>
      </c>
    </row>
    <row r="11" spans="1:5" ht="15" thickBot="1">
      <c r="A11" s="22" t="s">
        <v>65</v>
      </c>
      <c r="B11" s="23" t="s">
        <v>64</v>
      </c>
      <c r="C11" s="23" t="s">
        <v>51</v>
      </c>
      <c r="D11" s="23"/>
      <c r="E11" s="24">
        <v>152</v>
      </c>
    </row>
    <row r="12" spans="1:5" ht="28">
      <c r="A12" s="25" t="s">
        <v>66</v>
      </c>
      <c r="B12" s="26" t="s">
        <v>67</v>
      </c>
      <c r="C12" s="26" t="s">
        <v>60</v>
      </c>
      <c r="D12" s="26"/>
      <c r="E12" s="27">
        <v>369</v>
      </c>
    </row>
    <row r="14" spans="1:5">
      <c r="A14" s="12" t="s">
        <v>69</v>
      </c>
      <c r="B14" s="12"/>
      <c r="C14" s="12"/>
      <c r="D14" s="12"/>
      <c r="E14" s="12"/>
    </row>
    <row r="15" spans="1:5" ht="15" thickBot="1"/>
    <row r="16" spans="1:5" ht="32.5" customHeight="1" thickBot="1">
      <c r="A16" s="29" t="s">
        <v>70</v>
      </c>
      <c r="B16" s="30"/>
      <c r="C16" s="31"/>
    </row>
    <row r="17" spans="1:3" ht="22.5" customHeight="1">
      <c r="A17" s="10" t="s">
        <v>18</v>
      </c>
      <c r="B17" s="10" t="s">
        <v>13</v>
      </c>
      <c r="C17" s="10" t="s">
        <v>19</v>
      </c>
    </row>
    <row r="18" spans="1:3">
      <c r="A18" s="11" t="s">
        <v>71</v>
      </c>
      <c r="B18" s="11" t="s">
        <v>72</v>
      </c>
      <c r="C18" s="11" t="str">
        <f>LEFT(A18,5)</f>
        <v>Excel</v>
      </c>
    </row>
    <row r="19" spans="1:3" ht="15" thickBot="1"/>
    <row r="20" spans="1:3" ht="37" customHeight="1" thickBot="1">
      <c r="A20" s="29" t="s">
        <v>73</v>
      </c>
      <c r="B20" s="30"/>
      <c r="C20" s="31"/>
    </row>
    <row r="21" spans="1:3">
      <c r="A21" s="10" t="s">
        <v>18</v>
      </c>
      <c r="B21" s="10" t="s">
        <v>13</v>
      </c>
      <c r="C21" s="10" t="s">
        <v>19</v>
      </c>
    </row>
    <row r="22" spans="1:3">
      <c r="A22" s="11" t="s">
        <v>74</v>
      </c>
      <c r="B22" s="11" t="s">
        <v>75</v>
      </c>
      <c r="C22" s="11" t="str">
        <f>RIGHT(A22,4)</f>
        <v>xlsx</v>
      </c>
    </row>
    <row r="23" spans="1:3" ht="15" thickBot="1"/>
    <row r="24" spans="1:3" ht="33.5" customHeight="1" thickBot="1">
      <c r="A24" s="29" t="s">
        <v>76</v>
      </c>
      <c r="B24" s="30"/>
      <c r="C24" s="31"/>
    </row>
    <row r="25" spans="1:3">
      <c r="A25" s="10" t="s">
        <v>18</v>
      </c>
      <c r="B25" s="10" t="s">
        <v>13</v>
      </c>
      <c r="C25" s="10" t="s">
        <v>19</v>
      </c>
    </row>
    <row r="26" spans="1:3">
      <c r="A26" s="11" t="s">
        <v>71</v>
      </c>
      <c r="B26" s="11" t="s">
        <v>77</v>
      </c>
      <c r="C26" s="11" t="str">
        <f>MID(A26,6,4)</f>
        <v>Tips</v>
      </c>
    </row>
    <row r="27" spans="1:3" ht="15" thickBot="1"/>
    <row r="28" spans="1:3" ht="34.5" customHeight="1" thickBot="1">
      <c r="A28" s="29" t="s">
        <v>78</v>
      </c>
      <c r="B28" s="30"/>
      <c r="C28" s="31"/>
    </row>
    <row r="29" spans="1:3">
      <c r="A29" s="10" t="s">
        <v>18</v>
      </c>
      <c r="B29" s="10" t="s">
        <v>13</v>
      </c>
      <c r="C29" s="10" t="s">
        <v>19</v>
      </c>
    </row>
    <row r="30" spans="1:3">
      <c r="A30" s="11" t="s">
        <v>79</v>
      </c>
      <c r="B30" s="11" t="s">
        <v>80</v>
      </c>
      <c r="C30" s="11">
        <f>LEN(A30)</f>
        <v>12</v>
      </c>
    </row>
    <row r="31" spans="1:3" ht="15" thickBot="1"/>
    <row r="32" spans="1:3" ht="32" customHeight="1" thickBot="1">
      <c r="A32" s="29" t="s">
        <v>81</v>
      </c>
      <c r="B32" s="30"/>
      <c r="C32" s="31"/>
    </row>
    <row r="33" spans="1:3">
      <c r="A33" s="10" t="s">
        <v>18</v>
      </c>
      <c r="B33" s="10" t="s">
        <v>13</v>
      </c>
      <c r="C33" s="10" t="s">
        <v>19</v>
      </c>
    </row>
    <row r="34" spans="1:3">
      <c r="A34" s="11" t="s">
        <v>82</v>
      </c>
      <c r="B34" s="11" t="s">
        <v>80</v>
      </c>
      <c r="C34" s="11" t="str">
        <f>MID(A34,7,6)</f>
        <v>67890-</v>
      </c>
    </row>
  </sheetData>
  <mergeCells count="7">
    <mergeCell ref="A24:C24"/>
    <mergeCell ref="A28:C28"/>
    <mergeCell ref="A32:C32"/>
    <mergeCell ref="A1:E1"/>
    <mergeCell ref="A14:E14"/>
    <mergeCell ref="A16:C16"/>
    <mergeCell ref="A20:C20"/>
  </mergeCells>
  <dataValidations count="1">
    <dataValidation type="whole" allowBlank="1" showInputMessage="1" showErrorMessage="1" error="Invalid input! The quantity must be a whole number between 1 and 10." promptTitle="Instructions" prompt="Please enter a whole number between 1 and 10." sqref="D4:D12" xr:uid="{DFFB52DF-AB2F-4955-A111-8E90963F829E}">
      <formula1>1</formula1>
      <formula2>10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C946E-1A39-41D1-AE42-6C0AC6D6995E}">
  <dimension ref="A2:F14"/>
  <sheetViews>
    <sheetView showGridLines="0" workbookViewId="0">
      <selection activeCell="A5" sqref="A5:B5"/>
    </sheetView>
  </sheetViews>
  <sheetFormatPr defaultRowHeight="14.5"/>
  <cols>
    <col min="1" max="1" width="10.90625" customWidth="1"/>
    <col min="2" max="2" width="11.90625" customWidth="1"/>
    <col min="3" max="3" width="18" bestFit="1" customWidth="1"/>
    <col min="4" max="4" width="30.453125" customWidth="1"/>
    <col min="5" max="5" width="23.7265625" bestFit="1" customWidth="1"/>
    <col min="6" max="6" width="30" customWidth="1"/>
  </cols>
  <sheetData>
    <row r="2" spans="1:6" ht="26.5" customHeight="1">
      <c r="A2" s="32" t="s">
        <v>83</v>
      </c>
      <c r="B2" s="32"/>
      <c r="C2" s="32"/>
      <c r="D2" s="32"/>
      <c r="E2" s="32"/>
      <c r="F2" s="32"/>
    </row>
    <row r="3" spans="1:6" ht="15" thickBot="1"/>
    <row r="4" spans="1:6" ht="28" customHeight="1" thickBot="1">
      <c r="A4" s="29" t="s">
        <v>84</v>
      </c>
      <c r="B4" s="30"/>
      <c r="C4" s="30"/>
      <c r="D4" s="31"/>
    </row>
    <row r="5" spans="1:6">
      <c r="A5" s="33" t="s">
        <v>111</v>
      </c>
      <c r="B5" s="34"/>
      <c r="C5" s="10" t="s">
        <v>13</v>
      </c>
      <c r="D5" s="10" t="s">
        <v>19</v>
      </c>
    </row>
    <row r="6" spans="1:6">
      <c r="A6" s="11" t="s">
        <v>85</v>
      </c>
      <c r="B6" s="11" t="s">
        <v>86</v>
      </c>
      <c r="C6" s="11" t="s">
        <v>87</v>
      </c>
      <c r="D6" s="11" t="str">
        <f>_xlfn.CONCAT(A6," ",B6)</f>
        <v>Hello World</v>
      </c>
    </row>
    <row r="7" spans="1:6" ht="15" thickBot="1"/>
    <row r="8" spans="1:6" ht="41" customHeight="1" thickBot="1">
      <c r="A8" s="29" t="s">
        <v>88</v>
      </c>
      <c r="B8" s="30"/>
      <c r="C8" s="30"/>
      <c r="D8" s="30"/>
      <c r="E8" s="30"/>
    </row>
    <row r="9" spans="1:6">
      <c r="A9" s="33" t="s">
        <v>18</v>
      </c>
      <c r="B9" s="36"/>
      <c r="C9" s="34"/>
      <c r="D9" s="10" t="s">
        <v>13</v>
      </c>
      <c r="E9" s="35" t="s">
        <v>19</v>
      </c>
    </row>
    <row r="10" spans="1:6">
      <c r="A10" s="11" t="s">
        <v>89</v>
      </c>
      <c r="B10" s="11" t="s">
        <v>90</v>
      </c>
      <c r="C10" s="11" t="s">
        <v>91</v>
      </c>
      <c r="D10" s="11" t="s">
        <v>92</v>
      </c>
      <c r="E10" s="11" t="str">
        <f>_xlfn.TEXTJOIN(", ",0,A10,B10,C10)</f>
        <v>Apple, Banana, Cherry</v>
      </c>
    </row>
    <row r="11" spans="1:6" ht="15" thickBot="1">
      <c r="A11" s="17"/>
    </row>
    <row r="12" spans="1:6" ht="55" customHeight="1" thickBot="1">
      <c r="A12" s="29" t="s">
        <v>93</v>
      </c>
      <c r="B12" s="30"/>
      <c r="C12" s="30"/>
      <c r="D12" s="30"/>
      <c r="E12" s="30"/>
    </row>
    <row r="13" spans="1:6">
      <c r="A13" s="33" t="s">
        <v>18</v>
      </c>
      <c r="B13" s="36"/>
      <c r="C13" s="34" t="s">
        <v>13</v>
      </c>
      <c r="D13" s="10" t="s">
        <v>13</v>
      </c>
      <c r="E13" s="35" t="s">
        <v>19</v>
      </c>
    </row>
    <row r="14" spans="1:6">
      <c r="A14" s="11">
        <v>2025</v>
      </c>
      <c r="B14" s="11" t="s">
        <v>94</v>
      </c>
      <c r="C14" s="11" t="s">
        <v>95</v>
      </c>
      <c r="D14" s="11" t="s">
        <v>96</v>
      </c>
      <c r="E14" s="11" t="str">
        <f>"2025" &amp; ": " &amp; "Excel Functions"</f>
        <v>2025: Excel Functions</v>
      </c>
    </row>
  </sheetData>
  <mergeCells count="7">
    <mergeCell ref="A12:E12"/>
    <mergeCell ref="A13:C13"/>
    <mergeCell ref="A2:F2"/>
    <mergeCell ref="A4:D4"/>
    <mergeCell ref="A5:B5"/>
    <mergeCell ref="A9:C9"/>
    <mergeCell ref="A8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412C-FBD3-4856-8F80-A9001CF62F5B}">
  <dimension ref="A1:C16"/>
  <sheetViews>
    <sheetView showGridLines="0" topLeftCell="A2" workbookViewId="0">
      <selection activeCell="B20" sqref="B20"/>
    </sheetView>
  </sheetViews>
  <sheetFormatPr defaultRowHeight="14.5"/>
  <cols>
    <col min="1" max="1" width="40.1796875" bestFit="1" customWidth="1"/>
    <col min="2" max="2" width="41.08984375" customWidth="1"/>
    <col min="3" max="3" width="21" customWidth="1"/>
  </cols>
  <sheetData>
    <row r="1" spans="1:3">
      <c r="A1" s="37" t="s">
        <v>97</v>
      </c>
    </row>
    <row r="2" spans="1:3">
      <c r="A2" s="37" t="s">
        <v>98</v>
      </c>
    </row>
    <row r="3" spans="1:3">
      <c r="A3" s="37" t="s">
        <v>99</v>
      </c>
    </row>
    <row r="4" spans="1:3">
      <c r="A4" s="37" t="s">
        <v>100</v>
      </c>
    </row>
    <row r="5" spans="1:3">
      <c r="A5" s="15" t="s">
        <v>101</v>
      </c>
    </row>
    <row r="6" spans="1:3" ht="15" thickBot="1"/>
    <row r="7" spans="1:3" ht="37" customHeight="1" thickBot="1">
      <c r="A7" s="29" t="s">
        <v>102</v>
      </c>
      <c r="B7" s="30"/>
    </row>
    <row r="8" spans="1:3">
      <c r="A8" s="11" t="s">
        <v>103</v>
      </c>
      <c r="B8" s="11" t="str">
        <f>_xlfn.TEXTJOIN(", ",TRUE,A1:A5)</f>
        <v>Sunday, Monday, Tuesday, Wednesday, Thursday</v>
      </c>
    </row>
    <row r="9" spans="1:3" ht="15" thickBot="1"/>
    <row r="10" spans="1:3" ht="15" thickBot="1">
      <c r="A10" s="29" t="s">
        <v>112</v>
      </c>
      <c r="B10" s="30"/>
      <c r="C10" s="30"/>
    </row>
    <row r="11" spans="1:3">
      <c r="A11" s="39" t="s">
        <v>39</v>
      </c>
      <c r="B11" s="39" t="s">
        <v>40</v>
      </c>
      <c r="C11" s="39" t="s">
        <v>104</v>
      </c>
    </row>
    <row r="12" spans="1:3" ht="15" thickBot="1">
      <c r="A12" s="38" t="s">
        <v>33</v>
      </c>
      <c r="B12" s="38" t="s">
        <v>34</v>
      </c>
      <c r="C12" s="38" t="s">
        <v>105</v>
      </c>
    </row>
    <row r="13" spans="1:3" ht="15" thickBot="1">
      <c r="A13" s="23" t="s">
        <v>36</v>
      </c>
      <c r="B13" s="23" t="s">
        <v>37</v>
      </c>
      <c r="C13" s="23" t="str">
        <f>_xlfn.TEXTJOIN(" ",TRUE,A13,B13)</f>
        <v>Arpan Sen</v>
      </c>
    </row>
    <row r="14" spans="1:3" ht="15" thickBot="1">
      <c r="A14" s="23" t="s">
        <v>106</v>
      </c>
      <c r="B14" s="23" t="s">
        <v>107</v>
      </c>
      <c r="C14" s="23" t="str">
        <f t="shared" ref="C14:C16" si="0">_xlfn.TEXTJOIN(" ",TRUE,A14,B14)</f>
        <v>Priya Das</v>
      </c>
    </row>
    <row r="15" spans="1:3" ht="15" thickBot="1">
      <c r="A15" s="23" t="s">
        <v>7</v>
      </c>
      <c r="B15" s="23" t="s">
        <v>108</v>
      </c>
      <c r="C15" s="23" t="str">
        <f t="shared" si="0"/>
        <v>Rahul Verma</v>
      </c>
    </row>
    <row r="16" spans="1:3">
      <c r="A16" s="26" t="s">
        <v>109</v>
      </c>
      <c r="B16" s="26" t="s">
        <v>110</v>
      </c>
      <c r="C16" s="26" t="str">
        <f t="shared" si="0"/>
        <v>Amit Roy</v>
      </c>
    </row>
  </sheetData>
  <mergeCells count="2">
    <mergeCell ref="A7:B7"/>
    <mergeCell ref="A10:C10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2DE8-1BC6-429A-9CB1-67F2692C5850}">
  <dimension ref="A2:H17"/>
  <sheetViews>
    <sheetView showGridLines="0" tabSelected="1" topLeftCell="A6" workbookViewId="0">
      <selection activeCell="H6" sqref="H6"/>
    </sheetView>
  </sheetViews>
  <sheetFormatPr defaultRowHeight="14.5"/>
  <cols>
    <col min="1" max="1" width="9.6328125" customWidth="1"/>
    <col min="2" max="2" width="24.453125" customWidth="1"/>
    <col min="3" max="3" width="19.36328125" customWidth="1"/>
    <col min="4" max="4" width="15.7265625" customWidth="1"/>
  </cols>
  <sheetData>
    <row r="2" spans="1:8">
      <c r="A2" s="51" t="s">
        <v>113</v>
      </c>
      <c r="B2" s="51"/>
      <c r="C2" s="51"/>
      <c r="D2" s="51"/>
    </row>
    <row r="4" spans="1:8" ht="14.5" customHeight="1">
      <c r="A4" s="42" t="s">
        <v>121</v>
      </c>
      <c r="B4" s="43"/>
      <c r="C4" s="43"/>
      <c r="D4" s="44"/>
    </row>
    <row r="5" spans="1:8" ht="28">
      <c r="A5" s="48" t="s">
        <v>114</v>
      </c>
      <c r="B5" s="49" t="s">
        <v>115</v>
      </c>
      <c r="C5" s="49" t="s">
        <v>119</v>
      </c>
      <c r="D5" s="50" t="s">
        <v>116</v>
      </c>
    </row>
    <row r="6" spans="1:8" ht="42">
      <c r="A6" s="46" t="s">
        <v>117</v>
      </c>
      <c r="B6" s="40">
        <v>46042</v>
      </c>
      <c r="C6" s="41">
        <f ca="1">TODAY()</f>
        <v>46037</v>
      </c>
      <c r="D6" s="47" t="s">
        <v>43</v>
      </c>
      <c r="H6" t="s">
        <v>130</v>
      </c>
    </row>
    <row r="7" spans="1:8" ht="28">
      <c r="A7" s="62" t="s">
        <v>118</v>
      </c>
      <c r="B7" s="63">
        <v>46037.375</v>
      </c>
      <c r="C7" s="64">
        <f ca="1">NOW()</f>
        <v>46037.94085752315</v>
      </c>
      <c r="D7" s="65" t="s">
        <v>120</v>
      </c>
    </row>
    <row r="9" spans="1:8" ht="41.5" customHeight="1">
      <c r="A9" s="55" t="s">
        <v>123</v>
      </c>
      <c r="B9" s="55"/>
      <c r="C9" s="55"/>
      <c r="D9" s="55"/>
    </row>
    <row r="10" spans="1:8">
      <c r="A10" s="45" t="s">
        <v>114</v>
      </c>
      <c r="B10" s="45" t="s">
        <v>115</v>
      </c>
      <c r="C10" s="53" t="s">
        <v>42</v>
      </c>
      <c r="D10" s="45" t="s">
        <v>116</v>
      </c>
    </row>
    <row r="11" spans="1:8" ht="28">
      <c r="A11" s="52" t="s">
        <v>117</v>
      </c>
      <c r="B11" s="54">
        <v>45936</v>
      </c>
      <c r="C11" s="56">
        <f ca="1">B11-TODAY()</f>
        <v>-101</v>
      </c>
      <c r="D11" s="57" t="s">
        <v>122</v>
      </c>
    </row>
    <row r="13" spans="1:8" ht="52" customHeight="1">
      <c r="A13" s="55" t="s">
        <v>128</v>
      </c>
      <c r="B13" s="55"/>
      <c r="C13" s="55"/>
    </row>
    <row r="14" spans="1:8" ht="28.5" customHeight="1">
      <c r="A14" s="60" t="s">
        <v>124</v>
      </c>
      <c r="B14" s="61"/>
    </row>
    <row r="15" spans="1:8">
      <c r="A15" s="52" t="s">
        <v>125</v>
      </c>
      <c r="B15" s="54" t="s">
        <v>126</v>
      </c>
    </row>
    <row r="16" spans="1:8" ht="28.5" thickBot="1">
      <c r="A16" s="52" t="s">
        <v>127</v>
      </c>
      <c r="B16" s="54" t="str">
        <f ca="1">TEXT(NOW(), "MM/DD/YYYY HH:MM AM/PM")</f>
        <v>01/15/2026 10:34 PM</v>
      </c>
    </row>
    <row r="17" spans="1:2" ht="49.5" customHeight="1" thickBot="1">
      <c r="A17" s="58" t="s">
        <v>116</v>
      </c>
      <c r="B17" s="59" t="s">
        <v>129</v>
      </c>
    </row>
  </sheetData>
  <mergeCells count="5">
    <mergeCell ref="A14:B14"/>
    <mergeCell ref="A2:D2"/>
    <mergeCell ref="A4:D4"/>
    <mergeCell ref="A9:D9"/>
    <mergeCell ref="A13:C1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sen</dc:creator>
  <cp:lastModifiedBy>Arpan sen</cp:lastModifiedBy>
  <dcterms:created xsi:type="dcterms:W3CDTF">2026-01-15T06:57:12Z</dcterms:created>
  <dcterms:modified xsi:type="dcterms:W3CDTF">2026-01-15T17:05:29Z</dcterms:modified>
</cp:coreProperties>
</file>