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rpan Sen\Desktop\PW\"/>
    </mc:Choice>
  </mc:AlternateContent>
  <xr:revisionPtr revIDLastSave="0" documentId="13_ncr:1_{276F9115-F5E2-49C3-893C-9C3D7A7576C9}" xr6:coauthVersionLast="47" xr6:coauthVersionMax="47" xr10:uidLastSave="{00000000-0000-0000-0000-000000000000}"/>
  <bookViews>
    <workbookView xWindow="-120" yWindow="-120" windowWidth="20730" windowHeight="11160" activeTab="1" xr2:uid="{86264DDC-E2DD-480F-9CD0-9CD791F1D679}"/>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2" l="1"/>
  <c r="B37" i="2"/>
  <c r="B22" i="2"/>
  <c r="D7" i="2"/>
  <c r="D8" i="2"/>
  <c r="B58" i="1"/>
  <c r="B45" i="1"/>
  <c r="C28" i="1"/>
  <c r="C29" i="1"/>
  <c r="C30" i="1"/>
  <c r="C31" i="1"/>
  <c r="C27" i="1"/>
  <c r="D18" i="1"/>
  <c r="D19" i="1"/>
  <c r="D20" i="1"/>
  <c r="D17" i="1"/>
  <c r="C6" i="1"/>
  <c r="C7" i="1"/>
  <c r="C8" i="1"/>
  <c r="C9" i="1"/>
  <c r="C5" i="1"/>
</calcChain>
</file>

<file path=xl/sharedStrings.xml><?xml version="1.0" encoding="utf-8"?>
<sst xmlns="http://schemas.openxmlformats.org/spreadsheetml/2006/main" count="109" uniqueCount="76">
  <si>
    <t>1. Write a formula to check if the marks in cell B2 are greater than or equal to 40. If yes, return "Pass" , otherwise"Fail".</t>
  </si>
  <si>
    <t>USED FOORMULA</t>
  </si>
  <si>
    <t xml:space="preserve"> =IF(B4&gt;=40,"Pass","Fail")</t>
  </si>
  <si>
    <t xml:space="preserve">Student </t>
  </si>
  <si>
    <t>Name Marks</t>
  </si>
  <si>
    <t>Result</t>
  </si>
  <si>
    <t>Riya</t>
  </si>
  <si>
    <t>Siya</t>
  </si>
  <si>
    <t>Raju</t>
  </si>
  <si>
    <t>Rahul</t>
  </si>
  <si>
    <t>Ram</t>
  </si>
  <si>
    <t>2. A company gives a bonus  if sales are above 40,000 and attendance is greater than or equal to 90%. Write a formula to calculate whether the employee will get a bonus or not .</t>
  </si>
  <si>
    <t xml:space="preserve"> =IF(AND(B17&gt;40000,C17&gt;=90%),"Bonus","No Bonus")</t>
  </si>
  <si>
    <t>Employee</t>
  </si>
  <si>
    <t>Sales</t>
  </si>
  <si>
    <t>Attendance</t>
  </si>
  <si>
    <t>Arjun</t>
  </si>
  <si>
    <t>Simran</t>
  </si>
  <si>
    <t>Rohit</t>
  </si>
  <si>
    <t>Anjali</t>
  </si>
  <si>
    <t>3.Write a nested IF formula:</t>
  </si>
  <si>
    <t xml:space="preserve"> =IF(B27&gt;=90,"A",IF(B27&gt;=75,"B",IF(B27&gt;=50,"C","Faill")))</t>
  </si>
  <si>
    <t>Student Name</t>
  </si>
  <si>
    <t>Marks</t>
  </si>
  <si>
    <t>Grade</t>
  </si>
  <si>
    <t>Raj</t>
  </si>
  <si>
    <t>Neha</t>
  </si>
  <si>
    <t>Vivek</t>
  </si>
  <si>
    <t>Rani</t>
  </si>
  <si>
    <t>Sneha</t>
  </si>
  <si>
    <t>4.Find the Department of Employee ID = E103. Also explain which LOOKUP function is used and why?</t>
  </si>
  <si>
    <t>EmpID</t>
  </si>
  <si>
    <t>Name</t>
  </si>
  <si>
    <t>Department</t>
  </si>
  <si>
    <t>E101</t>
  </si>
  <si>
    <t>IT</t>
  </si>
  <si>
    <t>E102</t>
  </si>
  <si>
    <t>HR</t>
  </si>
  <si>
    <t>E103</t>
  </si>
  <si>
    <t>Roshni</t>
  </si>
  <si>
    <t>Finance</t>
  </si>
  <si>
    <t>E104</t>
  </si>
  <si>
    <t>Sejal</t>
  </si>
  <si>
    <t>Used Formula</t>
  </si>
  <si>
    <t>Explaintaion</t>
  </si>
  <si>
    <t xml:space="preserve"> =VLOOKUP(A45,A35:C39,3,0)</t>
  </si>
  <si>
    <t>We use VLOOKUP because the data is arranged vertically in columns. The function searches down the first column to find "E103" and then looks across the row to retrieve the "Department" from the third column. HLOOKUP cannot be used here because the data is not arranged in horizontal rows.</t>
  </si>
  <si>
    <t>5. A company has set the following commission structure for its sales team</t>
  </si>
  <si>
    <t>Sales Amount</t>
  </si>
  <si>
    <t>Commission Rate</t>
  </si>
  <si>
    <t xml:space="preserve"> =VLOOKUP(A58,A49:B53,2,1)</t>
  </si>
  <si>
    <t>We use this specific VLOOKUP formula because we need an Approximate Match, not an exact one.
Missing Value: The exact number 45,000 does not exist in the "Sales Amount" column.
Range Lookup (1): By using 1 (or TRUE) at the end of the formula, we tell Excel: "If you can't find 45,000, find the closest number that is less than 45,000."
Result: Excel finds 20,000 (the largest number less than 45,000) and returns its commission rate: 10%.</t>
  </si>
  <si>
    <t>Insert Sales Amount</t>
  </si>
  <si>
    <t>6. The HR department maintains the following leave records of employees:onus or not</t>
  </si>
  <si>
    <t xml:space="preserve"> =IF(B6&gt;C6,"Exceeded","OK")</t>
  </si>
  <si>
    <t>Employee Name</t>
  </si>
  <si>
    <t>Leaves Taken</t>
  </si>
  <si>
    <t>Leaves Allowed</t>
  </si>
  <si>
    <t>Leave Status</t>
  </si>
  <si>
    <t>Alex</t>
  </si>
  <si>
    <t>Bob</t>
  </si>
  <si>
    <t>Anna</t>
  </si>
  <si>
    <t>7. Find the salary of EmpID = E105 using INDEX-MATCH Function.</t>
  </si>
  <si>
    <t>Salary</t>
  </si>
  <si>
    <t>E105</t>
  </si>
  <si>
    <t>E106</t>
  </si>
  <si>
    <t xml:space="preserve"> =INDEX(B14:B17,MATCH(A22,A14:A17,0))</t>
  </si>
  <si>
    <t>We are combining two functions to do a lookup that is more flexible than VLOOKUP:
MATCH (The Scout): First, the MATCH part looks for "E105" in the EmpID list and returns its row position (which is 2).
INDEX (The Retriever): Then, the INDEX part goes to the Salary list and pulls the value from that same position (row 2), giving us 72000.</t>
  </si>
  <si>
    <t>Insert EmpID</t>
  </si>
  <si>
    <t>8. U se the XLOOKUP function to find the Department of the employee with Emp ID = E303.</t>
  </si>
  <si>
    <t>E303</t>
  </si>
  <si>
    <t>E301</t>
  </si>
  <si>
    <t xml:space="preserve"> =XLOOKUP(A37,A28:A31,B28:B31)</t>
  </si>
  <si>
    <t>We utilized the XLOOKUP function. This function is chosen because it performs an exact match search and retrieves data from a corresponding column without requiring the columns to be adjacent or sorted.</t>
  </si>
  <si>
    <t>Next Page</t>
  </si>
  <si>
    <t>previous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</si>
</sst>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b/>
      <sz val="12"/>
      <color theme="1"/>
      <name val="Calibri"/>
      <family val="2"/>
      <scheme val="minor"/>
    </font>
    <font>
      <sz val="11"/>
      <color theme="1"/>
      <name val="Calibri"/>
      <family val="2"/>
      <scheme val="minor"/>
    </font>
    <font>
      <b/>
      <sz val="9"/>
      <color theme="1"/>
      <name val="Calibri"/>
      <family val="2"/>
      <scheme val="minor"/>
    </font>
    <font>
      <b/>
      <sz val="11"/>
      <color theme="1"/>
      <name val="Calibri"/>
      <family val="2"/>
      <scheme val="minor"/>
    </font>
    <font>
      <u/>
      <sz val="11"/>
      <color theme="10"/>
      <name val="Calibri"/>
      <family val="2"/>
      <scheme val="minor"/>
    </font>
    <font>
      <u/>
      <sz val="11"/>
      <color theme="0"/>
      <name val="Calibri"/>
      <family val="2"/>
      <scheme val="minor"/>
    </font>
  </fonts>
  <fills count="11">
    <fill>
      <patternFill patternType="none"/>
    </fill>
    <fill>
      <patternFill patternType="gray125"/>
    </fill>
    <fill>
      <patternFill patternType="solid">
        <fgColor theme="4" tint="0.79998168889431442"/>
        <bgColor theme="4" tint="0.79998168889431442"/>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4" tint="0.59999389629810485"/>
        <bgColor theme="4" tint="0.59999389629810485"/>
      </patternFill>
    </fill>
    <fill>
      <patternFill patternType="solid">
        <fgColor theme="5" tint="-0.249977111117893"/>
        <bgColor indexed="64"/>
      </patternFill>
    </fill>
    <fill>
      <patternFill patternType="solid">
        <fgColor theme="4"/>
        <bgColor theme="4" tint="0.59999389629810485"/>
      </patternFill>
    </fill>
    <fill>
      <patternFill patternType="solid">
        <fgColor theme="8" tint="-0.499984740745262"/>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C00000"/>
      </left>
      <right style="medium">
        <color rgb="FFC00000"/>
      </right>
      <top style="medium">
        <color rgb="FFC00000"/>
      </top>
      <bottom style="medium">
        <color rgb="FFC00000"/>
      </bottom>
      <diagonal/>
    </border>
    <border>
      <left style="thin">
        <color theme="1"/>
      </left>
      <right style="thin">
        <color theme="1"/>
      </right>
      <top style="thin">
        <color theme="1"/>
      </top>
      <bottom style="thin">
        <color theme="1"/>
      </bottom>
      <diagonal/>
    </border>
  </borders>
  <cellStyleXfs count="3">
    <xf numFmtId="0" fontId="0" fillId="0" borderId="0"/>
    <xf numFmtId="9" fontId="3" fillId="0" borderId="0" applyFont="0" applyFill="0" applyBorder="0" applyAlignment="0" applyProtection="0"/>
    <xf numFmtId="0" fontId="6" fillId="0" borderId="0" applyNumberFormat="0" applyFill="0" applyBorder="0" applyAlignment="0" applyProtection="0"/>
  </cellStyleXfs>
  <cellXfs count="57">
    <xf numFmtId="0" fontId="0" fillId="0" borderId="0" xfId="0"/>
    <xf numFmtId="0" fontId="0" fillId="0" borderId="1"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5" borderId="7" xfId="0" applyFill="1" applyBorder="1" applyAlignment="1">
      <alignment horizontal="center" vertical="center"/>
    </xf>
    <xf numFmtId="0" fontId="0" fillId="6" borderId="1" xfId="0" applyFill="1" applyBorder="1" applyAlignment="1">
      <alignment horizontal="center" vertical="center"/>
    </xf>
    <xf numFmtId="0" fontId="0" fillId="2" borderId="1" xfId="0" applyFill="1" applyBorder="1" applyAlignment="1">
      <alignment horizontal="center" vertical="center"/>
    </xf>
    <xf numFmtId="0" fontId="1" fillId="8" borderId="1" xfId="0" applyFont="1" applyFill="1" applyBorder="1" applyAlignment="1">
      <alignment horizontal="center" vertical="center"/>
    </xf>
    <xf numFmtId="0" fontId="1" fillId="5" borderId="7" xfId="0" applyFont="1" applyFill="1" applyBorder="1" applyAlignment="1">
      <alignment horizontal="center" vertical="center"/>
    </xf>
    <xf numFmtId="0" fontId="0" fillId="2" borderId="2" xfId="0" applyFill="1" applyBorder="1" applyAlignment="1">
      <alignment horizontal="center" vertical="center"/>
    </xf>
    <xf numFmtId="0" fontId="1" fillId="8" borderId="9" xfId="0" applyFont="1" applyFill="1" applyBorder="1" applyAlignment="1">
      <alignment horizontal="center" vertical="center"/>
    </xf>
    <xf numFmtId="0" fontId="0" fillId="6" borderId="6" xfId="0" applyFill="1" applyBorder="1" applyAlignment="1">
      <alignment horizontal="center" vertical="center"/>
    </xf>
    <xf numFmtId="0" fontId="0" fillId="2" borderId="11" xfId="0" applyFill="1" applyBorder="1" applyAlignment="1">
      <alignment horizontal="center" vertical="center"/>
    </xf>
    <xf numFmtId="0" fontId="0" fillId="4" borderId="7" xfId="0" applyFill="1" applyBorder="1" applyAlignment="1">
      <alignment horizontal="center" vertical="center"/>
    </xf>
    <xf numFmtId="0" fontId="0" fillId="4" borderId="2" xfId="0" applyFill="1" applyBorder="1" applyAlignment="1">
      <alignment horizontal="center"/>
    </xf>
    <xf numFmtId="0" fontId="0" fillId="4" borderId="10" xfId="0" applyFill="1" applyBorder="1" applyAlignment="1">
      <alignment horizontal="center"/>
    </xf>
    <xf numFmtId="0" fontId="0" fillId="4" borderId="3" xfId="0" applyFill="1" applyBorder="1" applyAlignment="1">
      <alignment horizontal="center"/>
    </xf>
    <xf numFmtId="0" fontId="0" fillId="4" borderId="2" xfId="0" applyFill="1" applyBorder="1" applyAlignment="1">
      <alignment horizontal="center" vertical="center"/>
    </xf>
    <xf numFmtId="9" fontId="0" fillId="2" borderId="2" xfId="1" applyFont="1" applyFill="1" applyBorder="1" applyAlignment="1">
      <alignment horizontal="center" vertical="center"/>
    </xf>
    <xf numFmtId="9" fontId="0" fillId="6" borderId="1" xfId="1" applyFont="1" applyFill="1" applyBorder="1" applyAlignment="1">
      <alignment horizontal="center" vertical="center"/>
    </xf>
    <xf numFmtId="9" fontId="0" fillId="2" borderId="1" xfId="1" applyFont="1" applyFill="1" applyBorder="1" applyAlignment="1">
      <alignment horizontal="center" vertical="center"/>
    </xf>
    <xf numFmtId="9" fontId="0" fillId="4" borderId="2" xfId="1" applyFont="1" applyFill="1" applyBorder="1" applyAlignment="1">
      <alignment horizontal="center" vertical="center"/>
    </xf>
    <xf numFmtId="0" fontId="0" fillId="0" borderId="12" xfId="0" applyBorder="1" applyAlignment="1">
      <alignment horizontal="center" vertical="center"/>
    </xf>
    <xf numFmtId="0" fontId="1" fillId="8" borderId="9" xfId="0" applyFont="1" applyFill="1" applyBorder="1" applyAlignment="1">
      <alignment horizontal="center" vertical="center" wrapText="1"/>
    </xf>
    <xf numFmtId="9" fontId="1" fillId="8" borderId="1" xfId="1" applyFont="1" applyFill="1" applyBorder="1" applyAlignment="1">
      <alignment horizontal="center" vertical="center"/>
    </xf>
    <xf numFmtId="9" fontId="1" fillId="5" borderId="7" xfId="1" applyFont="1" applyFill="1" applyBorder="1" applyAlignment="1">
      <alignment horizontal="center" vertical="center"/>
    </xf>
    <xf numFmtId="0" fontId="7" fillId="9" borderId="1" xfId="2" applyFont="1" applyFill="1" applyBorder="1" applyAlignment="1">
      <alignment horizontal="center" vertical="center"/>
    </xf>
    <xf numFmtId="0" fontId="0" fillId="2" borderId="2" xfId="1" applyNumberFormat="1" applyFont="1" applyFill="1" applyBorder="1" applyAlignment="1">
      <alignment horizontal="center" vertical="center"/>
    </xf>
    <xf numFmtId="0" fontId="0" fillId="6" borderId="1" xfId="1" applyNumberFormat="1" applyFont="1" applyFill="1" applyBorder="1" applyAlignment="1">
      <alignment horizontal="center" vertical="center"/>
    </xf>
    <xf numFmtId="0" fontId="0" fillId="2" borderId="1" xfId="1" applyNumberFormat="1" applyFont="1" applyFill="1" applyBorder="1" applyAlignment="1">
      <alignment horizontal="center" vertical="center"/>
    </xf>
    <xf numFmtId="0" fontId="0" fillId="4" borderId="2" xfId="1" applyNumberFormat="1" applyFont="1" applyFill="1" applyBorder="1" applyAlignment="1">
      <alignment horizontal="center" vertical="center"/>
    </xf>
    <xf numFmtId="0" fontId="5" fillId="10" borderId="0" xfId="0" applyFont="1" applyFill="1" applyAlignment="1">
      <alignment horizontal="left" vertical="center" wrapText="1"/>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1" fillId="7" borderId="1" xfId="0" applyFont="1" applyFill="1" applyBorder="1" applyAlignment="1">
      <alignment horizontal="center"/>
    </xf>
    <xf numFmtId="0" fontId="1" fillId="7" borderId="2" xfId="0" applyFont="1" applyFill="1" applyBorder="1" applyAlignment="1">
      <alignment horizontal="center"/>
    </xf>
    <xf numFmtId="0" fontId="1" fillId="7" borderId="3" xfId="0" applyFont="1" applyFill="1" applyBorder="1" applyAlignment="1">
      <alignment horizont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0" fontId="1" fillId="7" borderId="12" xfId="0" applyFont="1" applyFill="1" applyBorder="1" applyAlignment="1">
      <alignment horizontal="center"/>
    </xf>
    <xf numFmtId="0" fontId="0" fillId="0" borderId="12" xfId="0" applyBorder="1" applyAlignment="1">
      <alignment horizontal="left" vertical="top" wrapText="1"/>
    </xf>
    <xf numFmtId="0" fontId="2" fillId="3" borderId="2" xfId="0" applyFont="1" applyFill="1" applyBorder="1" applyAlignment="1">
      <alignment horizontal="center" vertical="top" wrapText="1"/>
    </xf>
    <xf numFmtId="0" fontId="2" fillId="3" borderId="3" xfId="0" applyFont="1" applyFill="1" applyBorder="1" applyAlignment="1">
      <alignment horizontal="center" vertical="top" wrapText="1"/>
    </xf>
    <xf numFmtId="0" fontId="0" fillId="0" borderId="12" xfId="0" applyBorder="1" applyAlignment="1">
      <alignment horizontal="center" vertical="center" wrapText="1"/>
    </xf>
    <xf numFmtId="9" fontId="4" fillId="3" borderId="2" xfId="1" applyFont="1" applyFill="1" applyBorder="1" applyAlignment="1">
      <alignment horizontal="center" vertical="center" wrapText="1"/>
    </xf>
    <xf numFmtId="9" fontId="4" fillId="3" borderId="3" xfId="1" applyFont="1" applyFill="1" applyBorder="1" applyAlignment="1">
      <alignment horizontal="center" vertical="center" wrapText="1"/>
    </xf>
    <xf numFmtId="9" fontId="0" fillId="0" borderId="12" xfId="1" applyFont="1" applyBorder="1" applyAlignment="1">
      <alignment horizontal="left" vertical="top" wrapText="1"/>
    </xf>
    <xf numFmtId="9" fontId="1" fillId="7" borderId="2" xfId="1" applyFont="1" applyFill="1" applyBorder="1" applyAlignment="1">
      <alignment horizontal="center"/>
    </xf>
    <xf numFmtId="9" fontId="1" fillId="7" borderId="3" xfId="1" applyFont="1" applyFill="1" applyBorder="1" applyAlignment="1">
      <alignment horizontal="center"/>
    </xf>
    <xf numFmtId="9" fontId="1" fillId="7" borderId="12" xfId="1" applyFont="1" applyFill="1" applyBorder="1" applyAlignment="1">
      <alignment horizontal="center"/>
    </xf>
    <xf numFmtId="9" fontId="0" fillId="0" borderId="1" xfId="1" applyFont="1" applyBorder="1" applyAlignment="1">
      <alignment horizontal="center" vertical="top" wrapText="1"/>
    </xf>
  </cellXfs>
  <cellStyles count="3">
    <cellStyle name="Hyperlink" xfId="2" builtinId="8"/>
    <cellStyle name="Normal" xfId="0" builtinId="0"/>
    <cellStyle name="Percent" xfId="1" builtinId="5"/>
  </cellStyles>
  <dxfs count="7">
    <dxf>
      <fill>
        <patternFill patternType="solid">
          <fgColor indexed="64"/>
          <bgColor theme="9" tint="0.59999389629810485"/>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E5E-3400-497D-B5A9-3EEDFC713162}" name="Table1" displayName="Table1" ref="A4:C9" totalsRowShown="0" headerRowDxfId="6" headerRowBorderDxfId="5" tableBorderDxfId="4" totalsRowBorderDxfId="3">
  <autoFilter ref="A4:C9" xr:uid="{7EF49E5E-3400-497D-B5A9-3EEDFC713162}">
    <filterColumn colId="0" hiddenButton="1"/>
    <filterColumn colId="1" hiddenButton="1"/>
    <filterColumn colId="2" hiddenButton="1"/>
  </autoFilter>
  <tableColumns count="3">
    <tableColumn id="1" xr3:uid="{3631CE6A-843D-41CA-8EEB-867B65BC3117}" name="Student " dataDxfId="2"/>
    <tableColumn id="2" xr3:uid="{1548ED03-BF30-4764-AED1-CC46B5AFD8D2}" name="Name Marks" dataDxfId="1"/>
    <tableColumn id="3" xr3:uid="{77A0AE36-47C3-47EC-B9F2-F89A1AA7F9B7}" name="Result" dataDxfId="0">
      <calculatedColumnFormula>IF(B5&gt;=40,"Pass","Fail")</calculatedColumnFormula>
    </tableColumn>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C0680-2D76-40ED-9799-8D7F9C47F840}">
  <dimension ref="A1:H60"/>
  <sheetViews>
    <sheetView showGridLines="0" workbookViewId="0">
      <selection sqref="A1:H1"/>
    </sheetView>
  </sheetViews>
  <sheetFormatPr defaultRowHeight="15" x14ac:dyDescent="0.25"/>
  <cols>
    <col min="1" max="1" width="16.140625" customWidth="1"/>
    <col min="2" max="2" width="17.42578125" customWidth="1"/>
    <col min="3" max="3" width="10.5703125" customWidth="1"/>
    <col min="4" max="4" width="8.85546875" bestFit="1" customWidth="1"/>
    <col min="5" max="5" width="41.85546875" customWidth="1"/>
    <col min="8" max="8" width="23.5703125" customWidth="1"/>
  </cols>
  <sheetData>
    <row r="1" spans="1:8" ht="23.25" customHeight="1" x14ac:dyDescent="0.25">
      <c r="A1" s="34" t="s">
        <v>0</v>
      </c>
      <c r="B1" s="34"/>
      <c r="C1" s="34"/>
      <c r="D1" s="34"/>
      <c r="E1" s="34"/>
      <c r="F1" s="34"/>
      <c r="G1" s="34"/>
      <c r="H1" s="34"/>
    </row>
    <row r="2" spans="1:8" ht="14.1" customHeight="1" x14ac:dyDescent="0.25">
      <c r="A2" s="38" t="s">
        <v>1</v>
      </c>
      <c r="B2" s="38"/>
      <c r="C2" s="38"/>
    </row>
    <row r="3" spans="1:8" ht="15.75" x14ac:dyDescent="0.25">
      <c r="A3" s="35" t="s">
        <v>2</v>
      </c>
      <c r="B3" s="36"/>
      <c r="C3" s="37"/>
    </row>
    <row r="4" spans="1:8" x14ac:dyDescent="0.25">
      <c r="A4" s="3" t="s">
        <v>3</v>
      </c>
      <c r="B4" s="4" t="s">
        <v>4</v>
      </c>
      <c r="C4" s="7" t="s">
        <v>5</v>
      </c>
    </row>
    <row r="5" spans="1:8" x14ac:dyDescent="0.25">
      <c r="A5" s="2" t="s">
        <v>6</v>
      </c>
      <c r="B5" s="1">
        <v>45</v>
      </c>
      <c r="C5" s="17" t="str">
        <f>IF(B5&gt;=40,"Pass","Fail")</f>
        <v>Pass</v>
      </c>
    </row>
    <row r="6" spans="1:8" x14ac:dyDescent="0.25">
      <c r="A6" s="2" t="s">
        <v>7</v>
      </c>
      <c r="B6" s="1">
        <v>72</v>
      </c>
      <c r="C6" s="17" t="str">
        <f t="shared" ref="C6:C9" si="0">IF(B6&gt;=40,"Pass","Fail")</f>
        <v>Pass</v>
      </c>
    </row>
    <row r="7" spans="1:8" x14ac:dyDescent="0.25">
      <c r="A7" s="2" t="s">
        <v>8</v>
      </c>
      <c r="B7" s="1">
        <v>55</v>
      </c>
      <c r="C7" s="17" t="str">
        <f t="shared" si="0"/>
        <v>Pass</v>
      </c>
    </row>
    <row r="8" spans="1:8" x14ac:dyDescent="0.25">
      <c r="A8" s="2" t="s">
        <v>9</v>
      </c>
      <c r="B8" s="1">
        <v>80</v>
      </c>
      <c r="C8" s="17" t="str">
        <f t="shared" si="0"/>
        <v>Pass</v>
      </c>
    </row>
    <row r="9" spans="1:8" x14ac:dyDescent="0.25">
      <c r="A9" s="5" t="s">
        <v>10</v>
      </c>
      <c r="B9" s="6">
        <v>30</v>
      </c>
      <c r="C9" s="18" t="str">
        <f t="shared" si="0"/>
        <v>Fail</v>
      </c>
    </row>
    <row r="12" spans="1:8" ht="32.1" customHeight="1" x14ac:dyDescent="0.25">
      <c r="A12" s="34" t="s">
        <v>11</v>
      </c>
      <c r="B12" s="34"/>
      <c r="C12" s="34"/>
      <c r="D12" s="34"/>
      <c r="E12" s="34"/>
      <c r="F12" s="34"/>
      <c r="G12" s="34"/>
      <c r="H12" s="34"/>
    </row>
    <row r="14" spans="1:8" x14ac:dyDescent="0.25">
      <c r="A14" s="39" t="s">
        <v>1</v>
      </c>
      <c r="B14" s="40"/>
      <c r="C14" s="40"/>
      <c r="D14" s="40"/>
    </row>
    <row r="15" spans="1:8" ht="29.45" customHeight="1" x14ac:dyDescent="0.25">
      <c r="A15" s="43" t="s">
        <v>12</v>
      </c>
      <c r="B15" s="44"/>
      <c r="C15" s="44"/>
      <c r="D15" s="44"/>
    </row>
    <row r="16" spans="1:8" ht="15.75" thickBot="1" x14ac:dyDescent="0.3">
      <c r="A16" s="10" t="s">
        <v>13</v>
      </c>
      <c r="B16" s="10" t="s">
        <v>14</v>
      </c>
      <c r="C16" s="13" t="s">
        <v>15</v>
      </c>
      <c r="D16" s="11" t="s">
        <v>5</v>
      </c>
    </row>
    <row r="17" spans="1:5" ht="15.75" thickBot="1" x14ac:dyDescent="0.3">
      <c r="A17" s="9" t="s">
        <v>16</v>
      </c>
      <c r="B17" s="12">
        <v>55000</v>
      </c>
      <c r="C17" s="15">
        <v>95</v>
      </c>
      <c r="D17" s="19" t="str">
        <f>IF(AND(B17&gt;40000,C17&gt;=90%),"Bonus","No Bonus")</f>
        <v>Bonus</v>
      </c>
    </row>
    <row r="18" spans="1:5" x14ac:dyDescent="0.25">
      <c r="A18" s="8" t="s">
        <v>17</v>
      </c>
      <c r="B18" s="8">
        <v>65000</v>
      </c>
      <c r="C18" s="14">
        <v>85</v>
      </c>
      <c r="D18" s="17" t="str">
        <f t="shared" ref="D18:D20" si="1">IF(AND(B18&gt;40000,C18&gt;=90%),"Bonus","No Bonus")</f>
        <v>Bonus</v>
      </c>
    </row>
    <row r="19" spans="1:5" x14ac:dyDescent="0.25">
      <c r="A19" s="9" t="s">
        <v>18</v>
      </c>
      <c r="B19" s="9">
        <v>30000</v>
      </c>
      <c r="C19" s="9">
        <v>90</v>
      </c>
      <c r="D19" s="17" t="str">
        <f t="shared" si="1"/>
        <v>No Bonus</v>
      </c>
    </row>
    <row r="20" spans="1:5" x14ac:dyDescent="0.25">
      <c r="A20" s="8" t="s">
        <v>19</v>
      </c>
      <c r="B20" s="8">
        <v>25000</v>
      </c>
      <c r="C20" s="8">
        <v>65</v>
      </c>
      <c r="D20" s="17" t="str">
        <f t="shared" si="1"/>
        <v>No Bonus</v>
      </c>
    </row>
    <row r="22" spans="1:5" ht="27" customHeight="1" x14ac:dyDescent="0.25">
      <c r="A22" s="34" t="s">
        <v>20</v>
      </c>
      <c r="B22" s="34"/>
      <c r="C22" s="34"/>
      <c r="D22" s="34"/>
      <c r="E22" s="34"/>
    </row>
    <row r="24" spans="1:5" x14ac:dyDescent="0.25">
      <c r="A24" s="39" t="s">
        <v>1</v>
      </c>
      <c r="B24" s="40"/>
      <c r="C24" s="40"/>
    </row>
    <row r="25" spans="1:5" ht="48" customHeight="1" x14ac:dyDescent="0.25">
      <c r="A25" s="41" t="s">
        <v>21</v>
      </c>
      <c r="B25" s="42"/>
      <c r="C25" s="42"/>
    </row>
    <row r="26" spans="1:5" x14ac:dyDescent="0.25">
      <c r="A26" s="10" t="s">
        <v>22</v>
      </c>
      <c r="B26" s="10" t="s">
        <v>23</v>
      </c>
      <c r="C26" s="11" t="s">
        <v>24</v>
      </c>
    </row>
    <row r="27" spans="1:5" x14ac:dyDescent="0.25">
      <c r="A27" s="9" t="s">
        <v>25</v>
      </c>
      <c r="B27" s="9">
        <v>85</v>
      </c>
      <c r="C27" s="17" t="str">
        <f>IF(B27&gt;=90,"A",IF(B27&gt;=75,"B",IF(B27&gt;=50,"C","Faill")))</f>
        <v>B</v>
      </c>
    </row>
    <row r="28" spans="1:5" x14ac:dyDescent="0.25">
      <c r="A28" s="8" t="s">
        <v>26</v>
      </c>
      <c r="B28" s="8">
        <v>96</v>
      </c>
      <c r="C28" s="17" t="str">
        <f t="shared" ref="C28:C31" si="2">IF(B28&gt;=90,"A",IF(B28&gt;=75,"B",IF(B28&gt;=50,"C","Faill")))</f>
        <v>A</v>
      </c>
    </row>
    <row r="29" spans="1:5" x14ac:dyDescent="0.25">
      <c r="A29" s="9" t="s">
        <v>27</v>
      </c>
      <c r="B29" s="9">
        <v>57</v>
      </c>
      <c r="C29" s="17" t="str">
        <f t="shared" si="2"/>
        <v>C</v>
      </c>
    </row>
    <row r="30" spans="1:5" x14ac:dyDescent="0.25">
      <c r="A30" s="8" t="s">
        <v>28</v>
      </c>
      <c r="B30" s="8">
        <v>92</v>
      </c>
      <c r="C30" s="17" t="str">
        <f t="shared" si="2"/>
        <v>A</v>
      </c>
    </row>
    <row r="31" spans="1:5" x14ac:dyDescent="0.25">
      <c r="A31" s="9" t="s">
        <v>29</v>
      </c>
      <c r="B31" s="9">
        <v>75</v>
      </c>
      <c r="C31" s="16" t="str">
        <f t="shared" si="2"/>
        <v>B</v>
      </c>
    </row>
    <row r="33" spans="1:5" x14ac:dyDescent="0.25">
      <c r="A33" s="34" t="s">
        <v>30</v>
      </c>
      <c r="B33" s="34"/>
      <c r="C33" s="34"/>
      <c r="D33" s="34"/>
      <c r="E33" s="34"/>
    </row>
    <row r="35" spans="1:5" ht="15.75" thickBot="1" x14ac:dyDescent="0.3">
      <c r="A35" s="10" t="s">
        <v>31</v>
      </c>
      <c r="B35" s="10" t="s">
        <v>32</v>
      </c>
      <c r="C35" s="13" t="s">
        <v>33</v>
      </c>
    </row>
    <row r="36" spans="1:5" ht="15.75" thickBot="1" x14ac:dyDescent="0.3">
      <c r="A36" s="9" t="s">
        <v>34</v>
      </c>
      <c r="B36" s="12" t="s">
        <v>8</v>
      </c>
      <c r="C36" s="15" t="s">
        <v>35</v>
      </c>
    </row>
    <row r="37" spans="1:5" x14ac:dyDescent="0.25">
      <c r="A37" s="8" t="s">
        <v>36</v>
      </c>
      <c r="B37" s="8" t="s">
        <v>6</v>
      </c>
      <c r="C37" s="14" t="s">
        <v>37</v>
      </c>
    </row>
    <row r="38" spans="1:5" x14ac:dyDescent="0.25">
      <c r="A38" s="9" t="s">
        <v>38</v>
      </c>
      <c r="B38" s="9" t="s">
        <v>39</v>
      </c>
      <c r="C38" s="9" t="s">
        <v>40</v>
      </c>
    </row>
    <row r="39" spans="1:5" x14ac:dyDescent="0.25">
      <c r="A39" s="8" t="s">
        <v>41</v>
      </c>
      <c r="B39" s="8" t="s">
        <v>42</v>
      </c>
      <c r="C39" s="8" t="s">
        <v>14</v>
      </c>
    </row>
    <row r="42" spans="1:5" ht="12.95" customHeight="1" x14ac:dyDescent="0.25">
      <c r="A42" s="39" t="s">
        <v>43</v>
      </c>
      <c r="B42" s="40"/>
      <c r="C42" s="45" t="s">
        <v>44</v>
      </c>
      <c r="D42" s="45"/>
      <c r="E42" s="45"/>
    </row>
    <row r="43" spans="1:5" ht="21.95" customHeight="1" x14ac:dyDescent="0.25">
      <c r="A43" s="47" t="s">
        <v>45</v>
      </c>
      <c r="B43" s="48"/>
      <c r="C43" s="49" t="s">
        <v>46</v>
      </c>
      <c r="D43" s="49"/>
      <c r="E43" s="49"/>
    </row>
    <row r="44" spans="1:5" ht="25.5" customHeight="1" x14ac:dyDescent="0.25">
      <c r="A44" s="13" t="s">
        <v>31</v>
      </c>
      <c r="B44" s="11" t="s">
        <v>33</v>
      </c>
      <c r="C44" s="49"/>
      <c r="D44" s="49"/>
      <c r="E44" s="49"/>
    </row>
    <row r="45" spans="1:5" ht="27.95" customHeight="1" x14ac:dyDescent="0.25">
      <c r="A45" s="9" t="s">
        <v>38</v>
      </c>
      <c r="B45" s="20" t="str">
        <f>VLOOKUP(A45,A35:C39,3,0)</f>
        <v>Finance</v>
      </c>
      <c r="C45" s="49"/>
      <c r="D45" s="49"/>
      <c r="E45" s="49"/>
    </row>
    <row r="47" spans="1:5" x14ac:dyDescent="0.25">
      <c r="A47" s="34" t="s">
        <v>47</v>
      </c>
      <c r="B47" s="34"/>
      <c r="C47" s="34"/>
      <c r="D47" s="34"/>
      <c r="E47" s="34"/>
    </row>
    <row r="49" spans="1:5" x14ac:dyDescent="0.25">
      <c r="A49" s="10" t="s">
        <v>48</v>
      </c>
      <c r="B49" s="10" t="s">
        <v>49</v>
      </c>
    </row>
    <row r="50" spans="1:5" x14ac:dyDescent="0.25">
      <c r="A50" s="9">
        <v>0</v>
      </c>
      <c r="B50" s="21">
        <v>0.05</v>
      </c>
    </row>
    <row r="51" spans="1:5" x14ac:dyDescent="0.25">
      <c r="A51" s="8">
        <v>20000</v>
      </c>
      <c r="B51" s="22">
        <v>0.1</v>
      </c>
    </row>
    <row r="52" spans="1:5" x14ac:dyDescent="0.25">
      <c r="A52" s="9">
        <v>50000</v>
      </c>
      <c r="B52" s="23">
        <v>0.15</v>
      </c>
    </row>
    <row r="53" spans="1:5" x14ac:dyDescent="0.25">
      <c r="A53" s="8">
        <v>80000</v>
      </c>
      <c r="B53" s="22">
        <v>0.2</v>
      </c>
    </row>
    <row r="55" spans="1:5" x14ac:dyDescent="0.25">
      <c r="A55" s="39" t="s">
        <v>43</v>
      </c>
      <c r="B55" s="40"/>
      <c r="C55" s="45" t="s">
        <v>44</v>
      </c>
      <c r="D55" s="45"/>
      <c r="E55" s="45"/>
    </row>
    <row r="56" spans="1:5" ht="81" customHeight="1" x14ac:dyDescent="0.25">
      <c r="A56" s="41" t="s">
        <v>50</v>
      </c>
      <c r="B56" s="42"/>
      <c r="C56" s="46" t="s">
        <v>51</v>
      </c>
      <c r="D56" s="46"/>
      <c r="E56" s="46"/>
    </row>
    <row r="57" spans="1:5" ht="33.6" customHeight="1" x14ac:dyDescent="0.25">
      <c r="A57" s="26" t="s">
        <v>52</v>
      </c>
      <c r="B57" s="11" t="s">
        <v>49</v>
      </c>
      <c r="C57" s="46"/>
      <c r="D57" s="46"/>
      <c r="E57" s="46"/>
    </row>
    <row r="58" spans="1:5" ht="27.95" customHeight="1" x14ac:dyDescent="0.25">
      <c r="A58" s="25">
        <v>45000</v>
      </c>
      <c r="B58" s="24">
        <f>VLOOKUP(A58,A49:B53,2,1)</f>
        <v>0.1</v>
      </c>
      <c r="C58" s="46"/>
      <c r="D58" s="46"/>
      <c r="E58" s="46"/>
    </row>
    <row r="60" spans="1:5" x14ac:dyDescent="0.25">
      <c r="C60" s="29" t="s">
        <v>74</v>
      </c>
    </row>
  </sheetData>
  <mergeCells count="19">
    <mergeCell ref="A55:B55"/>
    <mergeCell ref="A56:B56"/>
    <mergeCell ref="C55:E55"/>
    <mergeCell ref="C56:E58"/>
    <mergeCell ref="A42:B42"/>
    <mergeCell ref="A43:B43"/>
    <mergeCell ref="C43:E45"/>
    <mergeCell ref="C42:E42"/>
    <mergeCell ref="A47:E47"/>
    <mergeCell ref="A24:C24"/>
    <mergeCell ref="A25:C25"/>
    <mergeCell ref="A15:D15"/>
    <mergeCell ref="A14:D14"/>
    <mergeCell ref="A33:E33"/>
    <mergeCell ref="A1:H1"/>
    <mergeCell ref="A3:C3"/>
    <mergeCell ref="A12:H12"/>
    <mergeCell ref="A2:C2"/>
    <mergeCell ref="A22:E22"/>
  </mergeCells>
  <hyperlinks>
    <hyperlink ref="C60" location="Sheet2!A1" display="Next Page" xr:uid="{E918A6F0-8BCF-4D07-BB41-D616066599E1}"/>
  </hyperlink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82FC6-06A2-4FEA-9883-7D5FD4D2756E}">
  <dimension ref="A1:G40"/>
  <sheetViews>
    <sheetView showGridLines="0" tabSelected="1" topLeftCell="A25" workbookViewId="0">
      <selection activeCell="E13" sqref="E13"/>
    </sheetView>
  </sheetViews>
  <sheetFormatPr defaultRowHeight="15" x14ac:dyDescent="0.25"/>
  <cols>
    <col min="1" max="1" width="14.42578125" bestFit="1" customWidth="1"/>
    <col min="2" max="2" width="17.42578125" customWidth="1"/>
    <col min="3" max="3" width="13.5703125" bestFit="1" customWidth="1"/>
    <col min="4" max="4" width="12.85546875" customWidth="1"/>
    <col min="5" max="5" width="15.5703125" customWidth="1"/>
    <col min="7" max="7" width="17.42578125" customWidth="1"/>
  </cols>
  <sheetData>
    <row r="1" spans="1:7" ht="23.1" customHeight="1" x14ac:dyDescent="0.25">
      <c r="A1" s="34" t="s">
        <v>53</v>
      </c>
      <c r="B1" s="34"/>
      <c r="C1" s="34"/>
      <c r="D1" s="34"/>
      <c r="E1" s="34"/>
      <c r="F1" s="34"/>
      <c r="G1" s="34"/>
    </row>
    <row r="3" spans="1:7" x14ac:dyDescent="0.25">
      <c r="A3" s="39" t="s">
        <v>1</v>
      </c>
      <c r="B3" s="40"/>
      <c r="C3" s="40"/>
      <c r="D3" s="40"/>
    </row>
    <row r="4" spans="1:7" ht="15.6" customHeight="1" x14ac:dyDescent="0.25">
      <c r="A4" s="41" t="s">
        <v>54</v>
      </c>
      <c r="B4" s="42"/>
      <c r="C4" s="42"/>
      <c r="D4" s="42"/>
    </row>
    <row r="5" spans="1:7" x14ac:dyDescent="0.25">
      <c r="A5" s="10" t="s">
        <v>55</v>
      </c>
      <c r="B5" s="10" t="s">
        <v>56</v>
      </c>
      <c r="C5" s="10" t="s">
        <v>57</v>
      </c>
      <c r="D5" s="11" t="s">
        <v>58</v>
      </c>
    </row>
    <row r="6" spans="1:7" x14ac:dyDescent="0.25">
      <c r="A6" s="9" t="s">
        <v>59</v>
      </c>
      <c r="B6" s="30">
        <v>10</v>
      </c>
      <c r="C6" s="9">
        <v>12</v>
      </c>
      <c r="D6" s="17" t="str">
        <f>IF(B6&gt;C6,"Exceeded","OK")</f>
        <v>OK</v>
      </c>
    </row>
    <row r="7" spans="1:7" x14ac:dyDescent="0.25">
      <c r="A7" s="8" t="s">
        <v>60</v>
      </c>
      <c r="B7" s="31">
        <v>10</v>
      </c>
      <c r="C7" s="8">
        <v>15</v>
      </c>
      <c r="D7" s="17" t="str">
        <f t="shared" ref="D7:D8" si="0">IF(B7&gt;C7,"Exceeded","OK")</f>
        <v>OK</v>
      </c>
    </row>
    <row r="8" spans="1:7" x14ac:dyDescent="0.25">
      <c r="A8" s="9" t="s">
        <v>61</v>
      </c>
      <c r="B8" s="32">
        <v>8</v>
      </c>
      <c r="C8" s="9">
        <v>12</v>
      </c>
      <c r="D8" s="17" t="str">
        <f t="shared" si="0"/>
        <v>OK</v>
      </c>
    </row>
    <row r="10" spans="1:7" ht="15" customHeight="1" x14ac:dyDescent="0.25">
      <c r="A10" s="34" t="s">
        <v>62</v>
      </c>
      <c r="B10" s="34"/>
      <c r="C10" s="34"/>
      <c r="D10" s="34"/>
      <c r="E10" s="34"/>
      <c r="F10" s="34"/>
      <c r="G10" s="34"/>
    </row>
    <row r="13" spans="1:7" x14ac:dyDescent="0.25">
      <c r="A13" s="10" t="s">
        <v>31</v>
      </c>
      <c r="B13" s="10" t="s">
        <v>63</v>
      </c>
    </row>
    <row r="14" spans="1:7" x14ac:dyDescent="0.25">
      <c r="A14" s="9" t="s">
        <v>41</v>
      </c>
      <c r="B14" s="30">
        <v>55000</v>
      </c>
    </row>
    <row r="15" spans="1:7" x14ac:dyDescent="0.25">
      <c r="A15" s="8" t="s">
        <v>64</v>
      </c>
      <c r="B15" s="31">
        <v>72000</v>
      </c>
    </row>
    <row r="16" spans="1:7" x14ac:dyDescent="0.25">
      <c r="A16" s="9" t="s">
        <v>65</v>
      </c>
      <c r="B16" s="32">
        <v>62000</v>
      </c>
    </row>
    <row r="17" spans="1:7" x14ac:dyDescent="0.25">
      <c r="A17" s="9" t="s">
        <v>36</v>
      </c>
      <c r="B17" s="32">
        <v>41000</v>
      </c>
    </row>
    <row r="19" spans="1:7" ht="14.1" customHeight="1" x14ac:dyDescent="0.25">
      <c r="A19" s="53" t="s">
        <v>1</v>
      </c>
      <c r="B19" s="54"/>
      <c r="C19" s="55" t="s">
        <v>44</v>
      </c>
      <c r="D19" s="55"/>
      <c r="E19" s="55"/>
    </row>
    <row r="20" spans="1:7" ht="49.5" customHeight="1" x14ac:dyDescent="0.25">
      <c r="A20" s="50" t="s">
        <v>66</v>
      </c>
      <c r="B20" s="51"/>
      <c r="C20" s="52" t="s">
        <v>67</v>
      </c>
      <c r="D20" s="52"/>
      <c r="E20" s="52"/>
    </row>
    <row r="21" spans="1:7" ht="29.45" customHeight="1" x14ac:dyDescent="0.25">
      <c r="A21" s="27" t="s">
        <v>68</v>
      </c>
      <c r="B21" s="28" t="s">
        <v>63</v>
      </c>
      <c r="C21" s="52"/>
      <c r="D21" s="52"/>
      <c r="E21" s="52"/>
    </row>
    <row r="22" spans="1:7" ht="42.95" customHeight="1" x14ac:dyDescent="0.25">
      <c r="A22" s="22" t="s">
        <v>64</v>
      </c>
      <c r="B22" s="33">
        <f>INDEX(B14:B17,MATCH(A22,A14:A17,0))</f>
        <v>72000</v>
      </c>
      <c r="C22" s="52"/>
      <c r="D22" s="52"/>
      <c r="E22" s="52"/>
    </row>
    <row r="25" spans="1:7" ht="15" customHeight="1" x14ac:dyDescent="0.25">
      <c r="A25" s="34" t="s">
        <v>69</v>
      </c>
      <c r="B25" s="34"/>
      <c r="C25" s="34"/>
      <c r="D25" s="34"/>
      <c r="E25" s="34"/>
      <c r="F25" s="34"/>
      <c r="G25" s="34"/>
    </row>
    <row r="27" spans="1:7" x14ac:dyDescent="0.25">
      <c r="A27" s="10" t="s">
        <v>31</v>
      </c>
      <c r="B27" s="10" t="s">
        <v>63</v>
      </c>
    </row>
    <row r="28" spans="1:7" x14ac:dyDescent="0.25">
      <c r="A28" s="9" t="s">
        <v>34</v>
      </c>
      <c r="B28" s="21" t="s">
        <v>37</v>
      </c>
    </row>
    <row r="29" spans="1:7" x14ac:dyDescent="0.25">
      <c r="A29" s="8" t="s">
        <v>70</v>
      </c>
      <c r="B29" s="22" t="s">
        <v>35</v>
      </c>
    </row>
    <row r="30" spans="1:7" x14ac:dyDescent="0.25">
      <c r="A30" s="9" t="s">
        <v>65</v>
      </c>
      <c r="B30" s="23" t="s">
        <v>14</v>
      </c>
    </row>
    <row r="31" spans="1:7" x14ac:dyDescent="0.25">
      <c r="A31" s="9" t="s">
        <v>71</v>
      </c>
      <c r="B31" s="23" t="s">
        <v>40</v>
      </c>
    </row>
    <row r="34" spans="1:5" x14ac:dyDescent="0.25">
      <c r="A34" s="53" t="s">
        <v>1</v>
      </c>
      <c r="B34" s="54"/>
      <c r="C34" s="55" t="s">
        <v>44</v>
      </c>
      <c r="D34" s="55"/>
      <c r="E34" s="55"/>
    </row>
    <row r="35" spans="1:5" ht="33.75" customHeight="1" x14ac:dyDescent="0.25">
      <c r="A35" s="50" t="s">
        <v>72</v>
      </c>
      <c r="B35" s="51"/>
      <c r="C35" s="56" t="s">
        <v>73</v>
      </c>
      <c r="D35" s="56"/>
      <c r="E35" s="56"/>
    </row>
    <row r="36" spans="1:5" ht="26.25" customHeight="1" x14ac:dyDescent="0.25">
      <c r="A36" s="10" t="s">
        <v>31</v>
      </c>
      <c r="B36" s="28" t="s">
        <v>63</v>
      </c>
      <c r="C36" s="56"/>
      <c r="D36" s="56"/>
      <c r="E36" s="56"/>
    </row>
    <row r="37" spans="1:5" ht="27" customHeight="1" x14ac:dyDescent="0.25">
      <c r="A37" s="8" t="s">
        <v>70</v>
      </c>
      <c r="B37" s="24" t="str">
        <f>_xlfn.XLOOKUP(A37,A28:A31,B28:B31)</f>
        <v>IT</v>
      </c>
      <c r="C37" s="56"/>
      <c r="D37" s="56"/>
      <c r="E37" s="56"/>
    </row>
    <row r="40" spans="1:5" ht="20.25" customHeight="1" x14ac:dyDescent="0.25">
      <c r="D40" s="29" t="s">
        <v>75</v>
      </c>
    </row>
  </sheetData>
  <mergeCells count="13">
    <mergeCell ref="A34:B34"/>
    <mergeCell ref="A35:B35"/>
    <mergeCell ref="C34:E34"/>
    <mergeCell ref="C35:E37"/>
    <mergeCell ref="A25:G25"/>
    <mergeCell ref="A20:B20"/>
    <mergeCell ref="C20:E22"/>
    <mergeCell ref="A1:G1"/>
    <mergeCell ref="A3:D3"/>
    <mergeCell ref="A4:D4"/>
    <mergeCell ref="A10:G10"/>
    <mergeCell ref="A19:B19"/>
    <mergeCell ref="C19:E19"/>
  </mergeCells>
  <hyperlinks>
    <hyperlink ref="D40" location="Sheet1!A1" display="previous" xr:uid="{C67ADB95-A2FD-444A-A83A-75AE4FDCBC3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Arpan sen</dc:creator>
  <cp:keywords/>
  <dc:description/>
  <cp:lastModifiedBy>Arpan sen</cp:lastModifiedBy>
  <cp:revision/>
  <cp:lastPrinted>2026-01-20T09:04:32Z</cp:lastPrinted>
  <dcterms:created xsi:type="dcterms:W3CDTF">2026-01-16T15:53:34Z</dcterms:created>
  <dcterms:modified xsi:type="dcterms:W3CDTF">2026-01-20T09:43:35Z</dcterms:modified>
  <cp:category/>
  <cp:contentStatus/>
</cp:coreProperties>
</file>