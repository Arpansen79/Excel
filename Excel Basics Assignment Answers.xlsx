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\OneDrive\Desktop\"/>
    </mc:Choice>
  </mc:AlternateContent>
  <xr:revisionPtr revIDLastSave="0" documentId="8_{EF4AE5F2-27E9-41E3-B36D-1F7F02F5AA9A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Q1" sheetId="3" r:id="rId1"/>
    <sheet name="Q2,3" sheetId="1" r:id="rId2"/>
    <sheet name="Q4" sheetId="2" r:id="rId3"/>
  </sheets>
  <definedNames>
    <definedName name="_xlnm.Print_Area" localSheetId="0">'Q1'!$A$3:$A$27</definedName>
    <definedName name="_xlnm.Print_Area" localSheetId="1">'Q2,3'!$A$2:$J$19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1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C19" i="1"/>
  <c r="C9" i="1"/>
</calcChain>
</file>

<file path=xl/sharedStrings.xml><?xml version="1.0" encoding="utf-8"?>
<sst xmlns="http://schemas.openxmlformats.org/spreadsheetml/2006/main" count="206" uniqueCount="114">
  <si>
    <t>Basics Assignment</t>
  </si>
  <si>
    <t>1. Explain the difference between Relative, Absolute and Mixed Cell Referencing.</t>
  </si>
  <si>
    <t>Here is the difference between Relative, Absolute, and Mixed cell referencing.</t>
  </si>
  <si>
    <t>1. Relative Cell Referencing (The Default)</t>
  </si>
  <si>
    <t xml:space="preserve">This is the standard behaviour in spreadsheets. When you copy a formula, the cell references change relative to the direction you copy them.  </t>
  </si>
  <si>
    <t>• How it looks: A1, B10,Excel  C5 (No dollar signs).</t>
  </si>
  <si>
    <t>• Behavior: If you copy the formula =A1+B1 down one row, it automatically becomes =A2+B2. If you copy it one column to the right, it becomes = B1 + C1.</t>
  </si>
  <si>
    <t>• Use Case: Adding up rows of data where you want the same calculation applied to each row individually.</t>
  </si>
  <si>
    <t>2. Absolute Cell Referencing (The Lock)</t>
  </si>
  <si>
    <t xml:space="preserve">Absolute referencing "locks" a specific cell so the reference does not change, no matter where you copy the formula. You create this by adding a dollar sign ($) before both the column letter and the row number.  </t>
  </si>
  <si>
    <t>• How it looks: $A$1, $D$5.</t>
  </si>
  <si>
    <t xml:space="preserve">• Behavior: If you have the formula =B1*$A$1 and you copy it down to the next row, B1 will change to B2 (relative), but $A$1 will remain $A$1.  </t>
  </si>
  <si>
    <t>• Use Case: Multiplying a column of different prices by a single, fixed tax rate located in one specific cell.</t>
  </si>
  <si>
    <t>3. Mixed Cell Referencing (The Hybrid)</t>
  </si>
  <si>
    <t xml:space="preserve">Mixed referencing locks either the row or the column, but not both.  </t>
  </si>
  <si>
    <t>• Row Absolute (A$1): The row is locked, but the column can change.</t>
  </si>
  <si>
    <t xml:space="preserve">• Example: If you copy =A$1 down, it stays =A$1. If you copy it right, it becomes =B$1.  </t>
  </si>
  <si>
    <t>• Column Absolute ($A1): The column is locked, but the row can change.</t>
  </si>
  <si>
    <t>• Example: If you copy =$A1 down, it becomes =$A2. If you copy it right, it stays =$A1.</t>
  </si>
  <si>
    <t>• Use Case: Creating multiplication tables or complex financial grids where formulas need to reference a specific header row or a specific side label column.</t>
  </si>
  <si>
    <t>Vehicle</t>
  </si>
  <si>
    <t>Price</t>
  </si>
  <si>
    <t>Car</t>
  </si>
  <si>
    <t>Bicycle</t>
  </si>
  <si>
    <t>Auto-Rickshaw</t>
  </si>
  <si>
    <t>2.Write a formula to calculate the total sales of Car and Bicyle only.</t>
  </si>
  <si>
    <t xml:space="preserve"> =SUM(B2,B3)</t>
  </si>
  <si>
    <t>Total Sales of Car And Bicycle</t>
  </si>
  <si>
    <t>3.Using the data below, write a formula to calculate the average sales of items priced above 100 but less than 300</t>
  </si>
  <si>
    <t>Items</t>
  </si>
  <si>
    <t>Sales</t>
  </si>
  <si>
    <t>Item A</t>
  </si>
  <si>
    <t>Item B</t>
  </si>
  <si>
    <t>Item C</t>
  </si>
  <si>
    <t xml:space="preserve"> =AVERAGEIFS(C13:C15,B13:B15,"&gt;100",B13:B15,"&lt;300")</t>
  </si>
  <si>
    <t>average sales of items priced above 100 but less than 300</t>
  </si>
  <si>
    <t>OrderID</t>
  </si>
  <si>
    <t>CustomerName</t>
  </si>
  <si>
    <t>Region</t>
  </si>
  <si>
    <t>Product</t>
  </si>
  <si>
    <t>Quantity</t>
  </si>
  <si>
    <t>UnitPrice</t>
  </si>
  <si>
    <t>OrderDate</t>
  </si>
  <si>
    <t xml:space="preserve">Total Sales </t>
  </si>
  <si>
    <t>4.Count how many customer names are recorded.</t>
  </si>
  <si>
    <t>Amit Sharma</t>
  </si>
  <si>
    <t>North</t>
  </si>
  <si>
    <t>Notebook</t>
  </si>
  <si>
    <t xml:space="preserve"> =COUNTA(B2:B51)</t>
  </si>
  <si>
    <t>Neha Verma</t>
  </si>
  <si>
    <t>South</t>
  </si>
  <si>
    <t>Pen</t>
  </si>
  <si>
    <t>TOTAL CUSTOMER NAMES</t>
  </si>
  <si>
    <t>Rahul Singh</t>
  </si>
  <si>
    <t>East</t>
  </si>
  <si>
    <t>Marker</t>
  </si>
  <si>
    <t>Pooja Mehta</t>
  </si>
  <si>
    <t>West</t>
  </si>
  <si>
    <t>5.Calculate the Total Sales for each row using a formula.</t>
  </si>
  <si>
    <t>Ankit Jain</t>
  </si>
  <si>
    <t>Pencil</t>
  </si>
  <si>
    <t xml:space="preserve"> =E2*F2</t>
  </si>
  <si>
    <t>Sneha Patel</t>
  </si>
  <si>
    <t>Vikas Gupta</t>
  </si>
  <si>
    <t>Eraser</t>
  </si>
  <si>
    <t>Meera Nair</t>
  </si>
  <si>
    <t>6.Calculate the total sales of Notebooks in the North region only.</t>
  </si>
  <si>
    <t>Anjali Rao</t>
  </si>
  <si>
    <t>Manoj Das</t>
  </si>
  <si>
    <t xml:space="preserve"> =SUMIFS(E2:E51,D2:D51,"Notebook",C2:C51,"North")</t>
  </si>
  <si>
    <t>Ritika Sen</t>
  </si>
  <si>
    <t xml:space="preserve">sales of Notebooks in the North region </t>
  </si>
  <si>
    <t>Karan Malhotra</t>
  </si>
  <si>
    <t>Aryan Joshi</t>
  </si>
  <si>
    <t>7.Create a column chart showing total sales by product.</t>
  </si>
  <si>
    <t>Divya Kapoor</t>
  </si>
  <si>
    <t>Sahil Arora</t>
  </si>
  <si>
    <t>`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</si>
  <si>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</si>
  <si>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</si>
  <si>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</si>
  <si>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</si>
  <si>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</si>
  <si>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</si>
  <si>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</si>
  <si>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</si>
  <si>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</si>
  <si>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</si>
  <si>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</si>
  <si>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</si>
  <si>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</si>
  <si>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</si>
  <si>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8.Insert a line chart showing daily sales trend.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</si>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</sst>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u/>
      <sz val="12"/>
      <color rgb="FFFF99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readingOrder="1"/>
    </xf>
    <xf numFmtId="1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6" borderId="0" xfId="0" applyFill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'Q4'!$H$1</c:f>
              <c:strCache>
                <c:ptCount val="1"/>
                <c:pt idx="0">
                  <c:v>Total 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'Q4'!$D$2:$D$51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'Q4'!$H$2:$H$51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5-409C-A75C-7958D6908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8180016"/>
        <c:axId val="2108181936"/>
        <c:axId val="0"/>
      </c:bar3DChart>
      <c:catAx>
        <c:axId val="210818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81936"/>
        <c:crosses val="autoZero"/>
        <c:auto val="1"/>
        <c:lblAlgn val="ctr"/>
        <c:lblOffset val="100"/>
        <c:noMultiLvlLbl val="0"/>
      </c:catAx>
      <c:valAx>
        <c:axId val="21081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8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'Q4'!$H$1</c:f>
              <c:strCache>
                <c:ptCount val="1"/>
                <c:pt idx="0">
                  <c:v>Total Sales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'Q4'!$G$2:$G$51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'Q4'!$H$2:$H$51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A-4770-9EF7-D69359E8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104047"/>
        <c:axId val="1889105967"/>
      </c:lineChart>
      <c:dateAx>
        <c:axId val="1889104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05967"/>
        <c:crosses val="autoZero"/>
        <c:auto val="1"/>
        <c:lblOffset val="100"/>
        <c:baseTimeUnit val="days"/>
      </c:dateAx>
      <c:valAx>
        <c:axId val="18891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0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149224</xdr:colOff>
      <xdr:row>14</xdr:row>
      <xdr:rowOff>107950</xdr:rowOff>
    </xdr:from>
    <xdr:to>
      <xdr:col>13</xdr:col>
      <xdr:colOff>579436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11C1F-D38E-33AF-BCA9-0DDF2733A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103188</xdr:colOff>
      <xdr:row>31</xdr:row>
      <xdr:rowOff>21430</xdr:rowOff>
    </xdr:from>
    <xdr:to>
      <xdr:col>15</xdr:col>
      <xdr:colOff>396875</xdr:colOff>
      <xdr:row>46</xdr:row>
      <xdr:rowOff>26193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DA720-38F3-00CD-677A-8C887C76B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839B3-225C-4E58-A9AB-07537CA96095}" name="Table1" displayName="Table1" ref="A1:G51" totalsRowShown="0" headerRowDxfId="11" dataDxfId="9" headerRowBorderDxfId="10" tableBorderDxfId="8" totalsRowBorderDxfId="7">
  <autoFilter ref="A1:G51" xr:uid="{49C839B3-225C-4E58-A9AB-07537CA96095}"/>
  <tableColumns count="7">
    <tableColumn id="1" xr3:uid="{E2AD0D63-48CB-4366-97E2-C0E2BC44B860}" name="OrderID" dataDxfId="6"/>
    <tableColumn id="2" xr3:uid="{08308DB4-FAD7-42F5-935F-21FC33CE39D6}" name="CustomerName" dataDxfId="5"/>
    <tableColumn id="3" xr3:uid="{DB245D6C-3570-4B28-B544-DD3B6CAF2299}" name="Region" dataDxfId="4"/>
    <tableColumn id="4" xr3:uid="{1D72F2C0-DAF8-4F03-9A5B-8EDF2C1061EA}" name="Product" dataDxfId="3"/>
    <tableColumn id="5" xr3:uid="{6F44BABB-D25A-4FFD-9078-FFDF34792FA5}" name="Quantity" dataDxfId="2"/>
    <tableColumn id="6" xr3:uid="{5AD42F88-5062-4B3B-88AB-3DC5CD48114D}" name="UnitPrice" dataDxfId="1"/>
    <tableColumn id="7" xr3:uid="{D1890162-7EDC-4EA2-AEEF-4344F35441D5}" name="OrderDat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83AD-B0A7-4674-A3DB-76988F93A1A8}">
  <dimension ref="A3:A27"/>
  <sheetViews>
    <sheetView showGridLines="0" workbookViewId="0">
      <selection activeCell="A30" sqref="A30"/>
    </sheetView>
  </sheetViews>
  <sheetFormatPr defaultRowHeight="14.5" x14ac:dyDescent="0.35"/>
  <cols>
    <col min="1" max="1" width="149.1796875" customWidth="1"/>
  </cols>
  <sheetData>
    <row r="3" spans="1:1" ht="16.5" x14ac:dyDescent="0.35">
      <c r="A3" s="12" t="s">
        <v>0</v>
      </c>
    </row>
    <row r="4" spans="1:1" ht="16.5" x14ac:dyDescent="0.35">
      <c r="A4" s="12"/>
    </row>
    <row r="5" spans="1:1" ht="15.5" x14ac:dyDescent="0.35">
      <c r="A5" s="13" t="s">
        <v>1</v>
      </c>
    </row>
    <row r="6" spans="1:1" x14ac:dyDescent="0.35">
      <c r="A6" s="14"/>
    </row>
    <row r="7" spans="1:1" x14ac:dyDescent="0.35">
      <c r="A7" s="14" t="s">
        <v>2</v>
      </c>
    </row>
    <row r="8" spans="1:1" x14ac:dyDescent="0.35">
      <c r="A8" s="14"/>
    </row>
    <row r="9" spans="1:1" x14ac:dyDescent="0.35">
      <c r="A9" s="14" t="s">
        <v>3</v>
      </c>
    </row>
    <row r="10" spans="1:1" x14ac:dyDescent="0.35">
      <c r="A10" s="14" t="s">
        <v>4</v>
      </c>
    </row>
    <row r="11" spans="1:1" x14ac:dyDescent="0.35">
      <c r="A11" s="14" t="s">
        <v>5</v>
      </c>
    </row>
    <row r="12" spans="1:1" ht="31.5" customHeight="1" x14ac:dyDescent="0.35">
      <c r="A12" s="14" t="s">
        <v>6</v>
      </c>
    </row>
    <row r="13" spans="1:1" x14ac:dyDescent="0.35">
      <c r="A13" s="14" t="s">
        <v>7</v>
      </c>
    </row>
    <row r="14" spans="1:1" x14ac:dyDescent="0.35">
      <c r="A14" s="14"/>
    </row>
    <row r="15" spans="1:1" x14ac:dyDescent="0.35">
      <c r="A15" s="14" t="s">
        <v>8</v>
      </c>
    </row>
    <row r="16" spans="1:1" ht="28" x14ac:dyDescent="0.35">
      <c r="A16" s="14" t="s">
        <v>9</v>
      </c>
    </row>
    <row r="17" spans="1:1" x14ac:dyDescent="0.35">
      <c r="A17" s="14" t="s">
        <v>10</v>
      </c>
    </row>
    <row r="18" spans="1:1" x14ac:dyDescent="0.35">
      <c r="A18" s="14" t="s">
        <v>11</v>
      </c>
    </row>
    <row r="19" spans="1:1" x14ac:dyDescent="0.35">
      <c r="A19" s="14" t="s">
        <v>12</v>
      </c>
    </row>
    <row r="20" spans="1:1" x14ac:dyDescent="0.35">
      <c r="A20" s="14"/>
    </row>
    <row r="21" spans="1:1" x14ac:dyDescent="0.35">
      <c r="A21" s="14" t="s">
        <v>13</v>
      </c>
    </row>
    <row r="22" spans="1:1" x14ac:dyDescent="0.35">
      <c r="A22" s="14" t="s">
        <v>14</v>
      </c>
    </row>
    <row r="23" spans="1:1" x14ac:dyDescent="0.35">
      <c r="A23" s="14" t="s">
        <v>15</v>
      </c>
    </row>
    <row r="24" spans="1:1" x14ac:dyDescent="0.35">
      <c r="A24" s="14" t="s">
        <v>16</v>
      </c>
    </row>
    <row r="25" spans="1:1" x14ac:dyDescent="0.35">
      <c r="A25" s="14" t="s">
        <v>17</v>
      </c>
    </row>
    <row r="26" spans="1:1" x14ac:dyDescent="0.35">
      <c r="A26" s="14" t="s">
        <v>18</v>
      </c>
    </row>
    <row r="27" spans="1:1" ht="33.75" customHeight="1" x14ac:dyDescent="0.35">
      <c r="A27" s="1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showGridLines="0" workbookViewId="0">
      <selection activeCell="L6" sqref="L6"/>
    </sheetView>
  </sheetViews>
  <sheetFormatPr defaultRowHeight="14.5" x14ac:dyDescent="0.35"/>
  <cols>
    <col min="1" max="1" width="10.7265625" customWidth="1"/>
    <col min="2" max="2" width="11.81640625" customWidth="1"/>
    <col min="3" max="3" width="30.453125" customWidth="1"/>
  </cols>
  <sheetData>
    <row r="2" spans="1:10" x14ac:dyDescent="0.35">
      <c r="A2" s="8" t="s">
        <v>20</v>
      </c>
      <c r="B2" s="8" t="s">
        <v>21</v>
      </c>
    </row>
    <row r="3" spans="1:10" ht="14.5" customHeight="1" x14ac:dyDescent="0.35">
      <c r="A3" s="9" t="s">
        <v>22</v>
      </c>
      <c r="B3" s="9">
        <v>500000</v>
      </c>
    </row>
    <row r="4" spans="1:10" x14ac:dyDescent="0.35">
      <c r="A4" s="9" t="s">
        <v>23</v>
      </c>
      <c r="B4" s="9">
        <v>10500</v>
      </c>
    </row>
    <row r="5" spans="1:10" ht="14.5" customHeight="1" x14ac:dyDescent="0.35">
      <c r="A5" s="9" t="s">
        <v>24</v>
      </c>
      <c r="B5" s="9">
        <v>25000</v>
      </c>
    </row>
    <row r="7" spans="1:10" ht="15.65" customHeight="1" x14ac:dyDescent="0.35">
      <c r="A7" s="15" t="s">
        <v>25</v>
      </c>
      <c r="B7" s="15"/>
      <c r="C7" s="15"/>
      <c r="D7" s="15"/>
      <c r="E7" s="15"/>
    </row>
    <row r="8" spans="1:10" x14ac:dyDescent="0.35">
      <c r="A8" s="18" t="s">
        <v>26</v>
      </c>
      <c r="B8" s="19"/>
      <c r="C8" s="19"/>
    </row>
    <row r="9" spans="1:10" ht="48.75" customHeight="1" x14ac:dyDescent="0.35">
      <c r="A9" s="16" t="s">
        <v>27</v>
      </c>
      <c r="B9" s="17"/>
      <c r="C9" s="5">
        <f>SUM(B3,B4)</f>
        <v>510500</v>
      </c>
    </row>
    <row r="11" spans="1:10" x14ac:dyDescent="0.35">
      <c r="A11" s="15" t="s">
        <v>28</v>
      </c>
      <c r="B11" s="15"/>
      <c r="C11" s="15"/>
      <c r="D11" s="15"/>
      <c r="E11" s="15"/>
      <c r="F11" s="15"/>
      <c r="G11" s="15"/>
      <c r="H11" s="15"/>
      <c r="I11" s="15"/>
      <c r="J11" s="15"/>
    </row>
    <row r="13" spans="1:10" x14ac:dyDescent="0.35">
      <c r="A13" s="8" t="s">
        <v>29</v>
      </c>
      <c r="B13" s="8" t="s">
        <v>21</v>
      </c>
      <c r="C13" s="8" t="s">
        <v>30</v>
      </c>
    </row>
    <row r="14" spans="1:10" x14ac:dyDescent="0.35">
      <c r="A14" s="9" t="s">
        <v>31</v>
      </c>
      <c r="B14" s="9">
        <v>90</v>
      </c>
      <c r="C14" s="9">
        <v>1000</v>
      </c>
    </row>
    <row r="15" spans="1:10" x14ac:dyDescent="0.35">
      <c r="A15" s="9" t="s">
        <v>32</v>
      </c>
      <c r="B15" s="9">
        <v>150</v>
      </c>
      <c r="C15" s="9">
        <v>1200</v>
      </c>
    </row>
    <row r="16" spans="1:10" x14ac:dyDescent="0.35">
      <c r="A16" s="9" t="s">
        <v>33</v>
      </c>
      <c r="B16" s="9">
        <v>250</v>
      </c>
      <c r="C16" s="9">
        <v>1500</v>
      </c>
    </row>
    <row r="17" spans="1:3" ht="33" customHeight="1" x14ac:dyDescent="0.35"/>
    <row r="18" spans="1:3" ht="60.75" customHeight="1" x14ac:dyDescent="0.35">
      <c r="A18" s="18" t="s">
        <v>34</v>
      </c>
      <c r="B18" s="19"/>
      <c r="C18" s="19"/>
    </row>
    <row r="19" spans="1:3" ht="72" customHeight="1" x14ac:dyDescent="0.35">
      <c r="A19" s="16" t="s">
        <v>35</v>
      </c>
      <c r="B19" s="17"/>
      <c r="C19" s="5">
        <f>AVERAGEIFS(C14:C16,B14:B16,"&gt;100",B14:B16,"&lt;300")</f>
        <v>1350</v>
      </c>
    </row>
  </sheetData>
  <mergeCells count="6">
    <mergeCell ref="A7:E7"/>
    <mergeCell ref="A9:B9"/>
    <mergeCell ref="A8:C8"/>
    <mergeCell ref="A19:B19"/>
    <mergeCell ref="A18:C18"/>
    <mergeCell ref="A11:J11"/>
  </mergeCells>
  <pageMargins left="0.25" right="0.25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9D65-3139-40BC-B690-8611BE50ED97}">
  <dimension ref="A1:P51"/>
  <sheetViews>
    <sheetView showGridLines="0" tabSelected="1" topLeftCell="C1" zoomScaleNormal="100" workbookViewId="0">
      <selection activeCell="A62" sqref="A62"/>
    </sheetView>
  </sheetViews>
  <sheetFormatPr defaultRowHeight="14.5" x14ac:dyDescent="0.35"/>
  <cols>
    <col min="1" max="1" width="9.54296875" customWidth="1"/>
    <col min="2" max="2" width="16.1796875" customWidth="1"/>
    <col min="3" max="3" width="8.453125" customWidth="1"/>
    <col min="4" max="4" width="9.54296875" bestFit="1" customWidth="1"/>
    <col min="5" max="5" width="10.1796875" customWidth="1"/>
    <col min="6" max="6" width="10.453125" customWidth="1"/>
    <col min="7" max="7" width="24.81640625" style="2" bestFit="1" customWidth="1"/>
    <col min="8" max="8" width="10.81640625" bestFit="1" customWidth="1"/>
    <col min="9" max="10" width="10.7265625" customWidth="1"/>
    <col min="11" max="11" width="47" customWidth="1"/>
    <col min="12" max="12" width="17.7265625" customWidth="1"/>
  </cols>
  <sheetData>
    <row r="1" spans="1:16" x14ac:dyDescent="0.35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10" t="s">
        <v>42</v>
      </c>
      <c r="H1" s="3" t="s">
        <v>43</v>
      </c>
      <c r="I1" s="1"/>
      <c r="J1" s="1"/>
      <c r="K1" s="7" t="s">
        <v>44</v>
      </c>
    </row>
    <row r="2" spans="1:16" x14ac:dyDescent="0.35">
      <c r="A2" s="9">
        <v>1001</v>
      </c>
      <c r="B2" s="9" t="s">
        <v>45</v>
      </c>
      <c r="C2" s="9" t="s">
        <v>46</v>
      </c>
      <c r="D2" s="9" t="s">
        <v>47</v>
      </c>
      <c r="E2" s="9">
        <v>10</v>
      </c>
      <c r="F2" s="9">
        <v>50</v>
      </c>
      <c r="G2" s="11">
        <v>45296</v>
      </c>
      <c r="H2" s="4">
        <f>E2*F2</f>
        <v>500</v>
      </c>
      <c r="I2" s="1"/>
      <c r="J2" s="1"/>
      <c r="K2" s="20" t="s">
        <v>48</v>
      </c>
      <c r="L2" s="21"/>
    </row>
    <row r="3" spans="1:16" ht="15.5" x14ac:dyDescent="0.35">
      <c r="A3" s="9">
        <v>1002</v>
      </c>
      <c r="B3" s="9" t="s">
        <v>49</v>
      </c>
      <c r="C3" s="9" t="s">
        <v>50</v>
      </c>
      <c r="D3" s="9" t="s">
        <v>51</v>
      </c>
      <c r="E3" s="9">
        <v>20</v>
      </c>
      <c r="F3" s="9">
        <v>10</v>
      </c>
      <c r="G3" s="11">
        <v>45297</v>
      </c>
      <c r="H3" s="4">
        <f t="shared" ref="H3:H51" si="0">E3*F3</f>
        <v>200</v>
      </c>
      <c r="I3" s="1"/>
      <c r="J3" s="1"/>
      <c r="K3" s="5" t="s">
        <v>52</v>
      </c>
      <c r="L3" s="6">
        <f>COUNTA(B2:B51)</f>
        <v>50</v>
      </c>
    </row>
    <row r="4" spans="1:16" x14ac:dyDescent="0.35">
      <c r="A4" s="9">
        <v>1003</v>
      </c>
      <c r="B4" s="9" t="s">
        <v>53</v>
      </c>
      <c r="C4" s="9" t="s">
        <v>54</v>
      </c>
      <c r="D4" s="9" t="s">
        <v>55</v>
      </c>
      <c r="E4" s="9">
        <v>15</v>
      </c>
      <c r="F4" s="9">
        <v>25</v>
      </c>
      <c r="G4" s="11">
        <v>45298</v>
      </c>
      <c r="H4" s="4">
        <f t="shared" si="0"/>
        <v>375</v>
      </c>
      <c r="I4" s="1"/>
      <c r="J4" s="1"/>
    </row>
    <row r="5" spans="1:16" x14ac:dyDescent="0.35">
      <c r="A5" s="9">
        <v>1004</v>
      </c>
      <c r="B5" s="9" t="s">
        <v>56</v>
      </c>
      <c r="C5" s="9" t="s">
        <v>57</v>
      </c>
      <c r="D5" s="9" t="s">
        <v>47</v>
      </c>
      <c r="E5" s="9">
        <v>5</v>
      </c>
      <c r="F5" s="9">
        <v>50</v>
      </c>
      <c r="G5" s="11">
        <v>45299</v>
      </c>
      <c r="H5" s="4">
        <f t="shared" si="0"/>
        <v>250</v>
      </c>
      <c r="I5" s="1"/>
      <c r="J5" s="1"/>
      <c r="K5" s="7" t="s">
        <v>58</v>
      </c>
    </row>
    <row r="6" spans="1:16" x14ac:dyDescent="0.35">
      <c r="A6" s="9">
        <v>1005</v>
      </c>
      <c r="B6" s="9" t="s">
        <v>59</v>
      </c>
      <c r="C6" s="9" t="s">
        <v>46</v>
      </c>
      <c r="D6" s="9" t="s">
        <v>60</v>
      </c>
      <c r="E6" s="9">
        <v>30</v>
      </c>
      <c r="F6" s="9">
        <v>5</v>
      </c>
      <c r="G6" s="11">
        <v>45301</v>
      </c>
      <c r="H6" s="4">
        <f t="shared" si="0"/>
        <v>150</v>
      </c>
      <c r="I6" s="1"/>
      <c r="J6" s="1"/>
      <c r="K6" s="22" t="s">
        <v>61</v>
      </c>
      <c r="L6" s="23"/>
    </row>
    <row r="7" spans="1:16" ht="16" customHeight="1" x14ac:dyDescent="0.35">
      <c r="A7" s="9">
        <v>1006</v>
      </c>
      <c r="B7" s="9" t="s">
        <v>62</v>
      </c>
      <c r="C7" s="9" t="s">
        <v>50</v>
      </c>
      <c r="D7" s="9" t="s">
        <v>47</v>
      </c>
      <c r="E7" s="9">
        <v>12</v>
      </c>
      <c r="F7" s="9">
        <v>50</v>
      </c>
      <c r="G7" s="11">
        <v>45302</v>
      </c>
      <c r="H7" s="4">
        <f t="shared" si="0"/>
        <v>600</v>
      </c>
      <c r="I7" s="1"/>
      <c r="J7" s="1"/>
      <c r="K7" s="24"/>
      <c r="L7" s="25"/>
    </row>
    <row r="8" spans="1:16" x14ac:dyDescent="0.35">
      <c r="A8" s="9">
        <v>1007</v>
      </c>
      <c r="B8" s="9" t="s">
        <v>63</v>
      </c>
      <c r="C8" s="9" t="s">
        <v>54</v>
      </c>
      <c r="D8" s="9" t="s">
        <v>64</v>
      </c>
      <c r="E8" s="9">
        <v>25</v>
      </c>
      <c r="F8" s="9">
        <v>8</v>
      </c>
      <c r="G8" s="11">
        <v>45304</v>
      </c>
      <c r="H8" s="4">
        <f t="shared" si="0"/>
        <v>200</v>
      </c>
      <c r="I8" s="1"/>
      <c r="J8" s="1"/>
    </row>
    <row r="9" spans="1:16" x14ac:dyDescent="0.35">
      <c r="A9" s="9">
        <v>1008</v>
      </c>
      <c r="B9" s="9" t="s">
        <v>65</v>
      </c>
      <c r="C9" s="9" t="s">
        <v>57</v>
      </c>
      <c r="D9" s="9" t="s">
        <v>51</v>
      </c>
      <c r="E9" s="9">
        <v>18</v>
      </c>
      <c r="F9" s="9">
        <v>10</v>
      </c>
      <c r="G9" s="11">
        <v>45306</v>
      </c>
      <c r="H9" s="4">
        <f t="shared" si="0"/>
        <v>180</v>
      </c>
      <c r="I9" s="1"/>
      <c r="J9" s="1"/>
      <c r="K9" s="15" t="s">
        <v>66</v>
      </c>
      <c r="L9" s="15"/>
    </row>
    <row r="10" spans="1:16" x14ac:dyDescent="0.35">
      <c r="A10" s="9">
        <v>1009</v>
      </c>
      <c r="B10" s="9" t="s">
        <v>67</v>
      </c>
      <c r="C10" s="9" t="s">
        <v>46</v>
      </c>
      <c r="D10" s="9" t="s">
        <v>55</v>
      </c>
      <c r="E10" s="9">
        <v>22</v>
      </c>
      <c r="F10" s="9">
        <v>25</v>
      </c>
      <c r="G10" s="11">
        <v>45308</v>
      </c>
      <c r="H10" s="4">
        <f t="shared" si="0"/>
        <v>550</v>
      </c>
      <c r="I10" s="1"/>
      <c r="J10" s="1"/>
    </row>
    <row r="11" spans="1:16" x14ac:dyDescent="0.35">
      <c r="A11" s="9">
        <v>1010</v>
      </c>
      <c r="B11" s="9" t="s">
        <v>68</v>
      </c>
      <c r="C11" s="9" t="s">
        <v>50</v>
      </c>
      <c r="D11" s="9" t="s">
        <v>47</v>
      </c>
      <c r="E11" s="9">
        <v>8</v>
      </c>
      <c r="F11" s="9">
        <v>50</v>
      </c>
      <c r="G11" s="11">
        <v>45309</v>
      </c>
      <c r="H11" s="4">
        <f t="shared" si="0"/>
        <v>400</v>
      </c>
      <c r="I11" s="1"/>
      <c r="J11" s="1"/>
      <c r="K11" s="20" t="s">
        <v>69</v>
      </c>
      <c r="L11" s="21"/>
    </row>
    <row r="12" spans="1:16" ht="15.5" x14ac:dyDescent="0.35">
      <c r="A12" s="9">
        <v>1011</v>
      </c>
      <c r="B12" s="9" t="s">
        <v>70</v>
      </c>
      <c r="C12" s="9" t="s">
        <v>54</v>
      </c>
      <c r="D12" s="9" t="s">
        <v>60</v>
      </c>
      <c r="E12" s="9">
        <v>40</v>
      </c>
      <c r="F12" s="9">
        <v>5</v>
      </c>
      <c r="G12" s="11">
        <v>45310</v>
      </c>
      <c r="H12" s="4">
        <f t="shared" si="0"/>
        <v>200</v>
      </c>
      <c r="I12" s="1"/>
      <c r="J12" s="1"/>
      <c r="K12" s="5" t="s">
        <v>71</v>
      </c>
      <c r="L12" s="6">
        <f>SUMIFS(E2:E51,D2:D51,"Notebook",C2:C51,"North")</f>
        <v>58</v>
      </c>
    </row>
    <row r="13" spans="1:16" x14ac:dyDescent="0.35">
      <c r="A13" s="9">
        <v>1012</v>
      </c>
      <c r="B13" s="9" t="s">
        <v>72</v>
      </c>
      <c r="C13" s="9" t="s">
        <v>57</v>
      </c>
      <c r="D13" s="9" t="s">
        <v>64</v>
      </c>
      <c r="E13" s="9">
        <v>35</v>
      </c>
      <c r="F13" s="9">
        <v>8</v>
      </c>
      <c r="G13" s="11">
        <v>45311</v>
      </c>
      <c r="H13" s="4">
        <f t="shared" si="0"/>
        <v>280</v>
      </c>
      <c r="I13" s="1"/>
      <c r="J13" s="1"/>
    </row>
    <row r="14" spans="1:16" ht="15" customHeight="1" x14ac:dyDescent="0.35">
      <c r="A14" s="9">
        <v>1013</v>
      </c>
      <c r="B14" s="9" t="s">
        <v>73</v>
      </c>
      <c r="C14" s="9" t="s">
        <v>46</v>
      </c>
      <c r="D14" s="9" t="s">
        <v>47</v>
      </c>
      <c r="E14" s="9">
        <v>14</v>
      </c>
      <c r="F14" s="9">
        <v>50</v>
      </c>
      <c r="G14" s="11">
        <v>45313</v>
      </c>
      <c r="H14" s="4">
        <f t="shared" si="0"/>
        <v>700</v>
      </c>
      <c r="I14" s="1"/>
      <c r="J14" s="1"/>
      <c r="K14" s="7" t="s">
        <v>74</v>
      </c>
      <c r="L14" s="7"/>
    </row>
    <row r="15" spans="1:16" x14ac:dyDescent="0.35">
      <c r="A15" s="9">
        <v>1014</v>
      </c>
      <c r="B15" s="9" t="s">
        <v>75</v>
      </c>
      <c r="C15" s="9" t="s">
        <v>50</v>
      </c>
      <c r="D15" s="9" t="s">
        <v>51</v>
      </c>
      <c r="E15" s="9">
        <v>28</v>
      </c>
      <c r="F15" s="9">
        <v>10</v>
      </c>
      <c r="G15" s="11">
        <v>45314</v>
      </c>
      <c r="H15" s="4">
        <f t="shared" si="0"/>
        <v>280</v>
      </c>
      <c r="I15" s="1"/>
      <c r="J15" s="1"/>
    </row>
    <row r="16" spans="1:16" x14ac:dyDescent="0.35">
      <c r="A16" s="9">
        <v>1015</v>
      </c>
      <c r="B16" s="9" t="s">
        <v>76</v>
      </c>
      <c r="C16" s="9" t="s">
        <v>54</v>
      </c>
      <c r="D16" s="9" t="s">
        <v>55</v>
      </c>
      <c r="E16" s="9">
        <v>12</v>
      </c>
      <c r="F16" s="9">
        <v>25</v>
      </c>
      <c r="G16" s="11">
        <v>45315</v>
      </c>
      <c r="H16" s="4">
        <f t="shared" si="0"/>
        <v>300</v>
      </c>
      <c r="I16" s="1"/>
      <c r="J16" s="1"/>
      <c r="P16" t="s">
        <v>77</v>
      </c>
    </row>
    <row r="17" spans="1:11" x14ac:dyDescent="0.35">
      <c r="A17" s="9">
        <v>1016</v>
      </c>
      <c r="B17" s="9" t="s">
        <v>78</v>
      </c>
      <c r="C17" s="9" t="s">
        <v>57</v>
      </c>
      <c r="D17" s="9" t="s">
        <v>60</v>
      </c>
      <c r="E17" s="9">
        <v>25</v>
      </c>
      <c r="F17" s="9">
        <v>5</v>
      </c>
      <c r="G17" s="11">
        <v>45317</v>
      </c>
      <c r="H17" s="4">
        <f t="shared" si="0"/>
        <v>125</v>
      </c>
      <c r="I17" s="1"/>
      <c r="J17" s="1"/>
    </row>
    <row r="18" spans="1:11" x14ac:dyDescent="0.35">
      <c r="A18" s="9">
        <v>1017</v>
      </c>
      <c r="B18" s="9" t="s">
        <v>79</v>
      </c>
      <c r="C18" s="9" t="s">
        <v>46</v>
      </c>
      <c r="D18" s="9" t="s">
        <v>64</v>
      </c>
      <c r="E18" s="9">
        <v>20</v>
      </c>
      <c r="F18" s="9">
        <v>8</v>
      </c>
      <c r="G18" s="11">
        <v>45319</v>
      </c>
      <c r="H18" s="4">
        <f t="shared" si="0"/>
        <v>160</v>
      </c>
      <c r="I18" s="1"/>
      <c r="J18" s="1"/>
    </row>
    <row r="19" spans="1:11" x14ac:dyDescent="0.35">
      <c r="A19" s="9">
        <v>1018</v>
      </c>
      <c r="B19" s="9" t="s">
        <v>80</v>
      </c>
      <c r="C19" s="9" t="s">
        <v>50</v>
      </c>
      <c r="D19" s="9" t="s">
        <v>47</v>
      </c>
      <c r="E19" s="9">
        <v>10</v>
      </c>
      <c r="F19" s="9">
        <v>50</v>
      </c>
      <c r="G19" s="11">
        <v>45320</v>
      </c>
      <c r="H19" s="4">
        <f t="shared" si="0"/>
        <v>500</v>
      </c>
      <c r="I19" s="1"/>
      <c r="J19" s="1"/>
    </row>
    <row r="20" spans="1:11" x14ac:dyDescent="0.35">
      <c r="A20" s="9">
        <v>1019</v>
      </c>
      <c r="B20" s="9" t="s">
        <v>81</v>
      </c>
      <c r="C20" s="9" t="s">
        <v>54</v>
      </c>
      <c r="D20" s="9" t="s">
        <v>51</v>
      </c>
      <c r="E20" s="9">
        <v>15</v>
      </c>
      <c r="F20" s="9">
        <v>10</v>
      </c>
      <c r="G20" s="11">
        <v>45321</v>
      </c>
      <c r="H20" s="4">
        <f t="shared" si="0"/>
        <v>150</v>
      </c>
      <c r="I20" s="1"/>
      <c r="J20" s="1"/>
    </row>
    <row r="21" spans="1:11" x14ac:dyDescent="0.35">
      <c r="A21" s="9">
        <v>1020</v>
      </c>
      <c r="B21" s="9" t="s">
        <v>82</v>
      </c>
      <c r="C21" s="9" t="s">
        <v>57</v>
      </c>
      <c r="D21" s="9" t="s">
        <v>55</v>
      </c>
      <c r="E21" s="9">
        <v>18</v>
      </c>
      <c r="F21" s="9">
        <v>25</v>
      </c>
      <c r="G21" s="11">
        <v>45323</v>
      </c>
      <c r="H21" s="4">
        <f t="shared" si="0"/>
        <v>450</v>
      </c>
      <c r="I21" s="1"/>
      <c r="J21" s="1"/>
    </row>
    <row r="22" spans="1:11" x14ac:dyDescent="0.35">
      <c r="A22" s="9">
        <v>1021</v>
      </c>
      <c r="B22" s="9" t="s">
        <v>83</v>
      </c>
      <c r="C22" s="9" t="s">
        <v>46</v>
      </c>
      <c r="D22" s="9" t="s">
        <v>47</v>
      </c>
      <c r="E22" s="9">
        <v>9</v>
      </c>
      <c r="F22" s="9">
        <v>50</v>
      </c>
      <c r="G22" s="11">
        <v>45324</v>
      </c>
      <c r="H22" s="4">
        <f t="shared" si="0"/>
        <v>450</v>
      </c>
      <c r="I22" s="1"/>
      <c r="J22" s="1"/>
    </row>
    <row r="23" spans="1:11" x14ac:dyDescent="0.35">
      <c r="A23" s="9">
        <v>1022</v>
      </c>
      <c r="B23" s="9" t="s">
        <v>84</v>
      </c>
      <c r="C23" s="9" t="s">
        <v>50</v>
      </c>
      <c r="D23" s="9" t="s">
        <v>60</v>
      </c>
      <c r="E23" s="9">
        <v>35</v>
      </c>
      <c r="F23" s="9">
        <v>5</v>
      </c>
      <c r="G23" s="11">
        <v>45325</v>
      </c>
      <c r="H23" s="4">
        <f t="shared" si="0"/>
        <v>175</v>
      </c>
      <c r="I23" s="1"/>
      <c r="J23" s="1"/>
    </row>
    <row r="24" spans="1:11" x14ac:dyDescent="0.35">
      <c r="A24" s="9">
        <v>1023</v>
      </c>
      <c r="B24" s="9" t="s">
        <v>85</v>
      </c>
      <c r="C24" s="9" t="s">
        <v>54</v>
      </c>
      <c r="D24" s="9" t="s">
        <v>64</v>
      </c>
      <c r="E24" s="9">
        <v>30</v>
      </c>
      <c r="F24" s="9">
        <v>8</v>
      </c>
      <c r="G24" s="11">
        <v>45326</v>
      </c>
      <c r="H24" s="4">
        <f t="shared" si="0"/>
        <v>240</v>
      </c>
      <c r="I24" s="1"/>
      <c r="J24" s="1"/>
    </row>
    <row r="25" spans="1:11" x14ac:dyDescent="0.35">
      <c r="A25" s="9">
        <v>1024</v>
      </c>
      <c r="B25" s="9" t="s">
        <v>86</v>
      </c>
      <c r="C25" s="9" t="s">
        <v>57</v>
      </c>
      <c r="D25" s="9" t="s">
        <v>47</v>
      </c>
      <c r="E25" s="9">
        <v>11</v>
      </c>
      <c r="F25" s="9">
        <v>50</v>
      </c>
      <c r="G25" s="11">
        <v>45328</v>
      </c>
      <c r="H25" s="4">
        <f t="shared" si="0"/>
        <v>550</v>
      </c>
      <c r="I25" s="1"/>
      <c r="J25" s="1"/>
    </row>
    <row r="26" spans="1:11" x14ac:dyDescent="0.35">
      <c r="A26" s="9">
        <v>1025</v>
      </c>
      <c r="B26" s="9" t="s">
        <v>87</v>
      </c>
      <c r="C26" s="9" t="s">
        <v>46</v>
      </c>
      <c r="D26" s="9" t="s">
        <v>51</v>
      </c>
      <c r="E26" s="9">
        <v>14</v>
      </c>
      <c r="F26" s="9">
        <v>10</v>
      </c>
      <c r="G26" s="11">
        <v>45329</v>
      </c>
      <c r="H26" s="4">
        <f t="shared" si="0"/>
        <v>140</v>
      </c>
      <c r="I26" s="1"/>
      <c r="J26" s="1"/>
    </row>
    <row r="27" spans="1:11" x14ac:dyDescent="0.35">
      <c r="A27" s="9">
        <v>1026</v>
      </c>
      <c r="B27" s="9" t="s">
        <v>88</v>
      </c>
      <c r="C27" s="9" t="s">
        <v>50</v>
      </c>
      <c r="D27" s="9" t="s">
        <v>55</v>
      </c>
      <c r="E27" s="9">
        <v>16</v>
      </c>
      <c r="F27" s="9">
        <v>25</v>
      </c>
      <c r="G27" s="11">
        <v>45330</v>
      </c>
      <c r="H27" s="4">
        <f t="shared" si="0"/>
        <v>400</v>
      </c>
      <c r="I27" s="1"/>
      <c r="J27" s="1"/>
    </row>
    <row r="28" spans="1:11" x14ac:dyDescent="0.35">
      <c r="A28" s="9">
        <v>1027</v>
      </c>
      <c r="B28" s="9" t="s">
        <v>89</v>
      </c>
      <c r="C28" s="9" t="s">
        <v>54</v>
      </c>
      <c r="D28" s="9" t="s">
        <v>60</v>
      </c>
      <c r="E28" s="9">
        <v>22</v>
      </c>
      <c r="F28" s="9">
        <v>5</v>
      </c>
      <c r="G28" s="11">
        <v>45331</v>
      </c>
      <c r="H28" s="4">
        <f t="shared" si="0"/>
        <v>110</v>
      </c>
      <c r="I28" s="1"/>
      <c r="J28" s="1"/>
    </row>
    <row r="29" spans="1:11" x14ac:dyDescent="0.35">
      <c r="A29" s="9">
        <v>1028</v>
      </c>
      <c r="B29" s="9" t="s">
        <v>90</v>
      </c>
      <c r="C29" s="9" t="s">
        <v>57</v>
      </c>
      <c r="D29" s="9" t="s">
        <v>64</v>
      </c>
      <c r="E29" s="9">
        <v>27</v>
      </c>
      <c r="F29" s="9">
        <v>8</v>
      </c>
      <c r="G29" s="11">
        <v>45332</v>
      </c>
      <c r="H29" s="4">
        <f t="shared" si="0"/>
        <v>216</v>
      </c>
      <c r="I29" s="1"/>
      <c r="J29" s="1"/>
    </row>
    <row r="30" spans="1:11" x14ac:dyDescent="0.35">
      <c r="A30" s="9">
        <v>1029</v>
      </c>
      <c r="B30" s="9" t="s">
        <v>91</v>
      </c>
      <c r="C30" s="9" t="s">
        <v>46</v>
      </c>
      <c r="D30" s="9" t="s">
        <v>47</v>
      </c>
      <c r="E30" s="9">
        <v>13</v>
      </c>
      <c r="F30" s="9">
        <v>50</v>
      </c>
      <c r="G30" s="11">
        <v>45334</v>
      </c>
      <c r="H30" s="4">
        <f t="shared" si="0"/>
        <v>650</v>
      </c>
      <c r="I30" s="1"/>
      <c r="J30" s="1"/>
      <c r="K30" s="7" t="s">
        <v>92</v>
      </c>
    </row>
    <row r="31" spans="1:11" x14ac:dyDescent="0.35">
      <c r="A31" s="9">
        <v>1030</v>
      </c>
      <c r="B31" s="9" t="s">
        <v>93</v>
      </c>
      <c r="C31" s="9" t="s">
        <v>50</v>
      </c>
      <c r="D31" s="9" t="s">
        <v>51</v>
      </c>
      <c r="E31" s="9">
        <v>32</v>
      </c>
      <c r="F31" s="9">
        <v>10</v>
      </c>
      <c r="G31" s="11">
        <v>45335</v>
      </c>
      <c r="H31" s="4">
        <f t="shared" si="0"/>
        <v>320</v>
      </c>
      <c r="I31" s="1"/>
      <c r="J31" s="1"/>
    </row>
    <row r="32" spans="1:11" x14ac:dyDescent="0.35">
      <c r="A32" s="9">
        <v>1031</v>
      </c>
      <c r="B32" s="9" t="s">
        <v>94</v>
      </c>
      <c r="C32" s="9" t="s">
        <v>54</v>
      </c>
      <c r="D32" s="9" t="s">
        <v>55</v>
      </c>
      <c r="E32" s="9">
        <v>10</v>
      </c>
      <c r="F32" s="9">
        <v>25</v>
      </c>
      <c r="G32" s="11">
        <v>45336</v>
      </c>
      <c r="H32" s="4">
        <f t="shared" si="0"/>
        <v>250</v>
      </c>
      <c r="I32" s="1"/>
      <c r="J32" s="1"/>
    </row>
    <row r="33" spans="1:10" x14ac:dyDescent="0.35">
      <c r="A33" s="9">
        <v>1032</v>
      </c>
      <c r="B33" s="9" t="s">
        <v>95</v>
      </c>
      <c r="C33" s="9" t="s">
        <v>57</v>
      </c>
      <c r="D33" s="9" t="s">
        <v>60</v>
      </c>
      <c r="E33" s="9">
        <v>18</v>
      </c>
      <c r="F33" s="9">
        <v>5</v>
      </c>
      <c r="G33" s="11">
        <v>45338</v>
      </c>
      <c r="H33" s="4">
        <f t="shared" si="0"/>
        <v>90</v>
      </c>
      <c r="I33" s="1"/>
      <c r="J33" s="1"/>
    </row>
    <row r="34" spans="1:10" x14ac:dyDescent="0.35">
      <c r="A34" s="9">
        <v>1033</v>
      </c>
      <c r="B34" s="9" t="s">
        <v>96</v>
      </c>
      <c r="C34" s="9" t="s">
        <v>46</v>
      </c>
      <c r="D34" s="9" t="s">
        <v>64</v>
      </c>
      <c r="E34" s="9">
        <v>22</v>
      </c>
      <c r="F34" s="9">
        <v>8</v>
      </c>
      <c r="G34" s="11">
        <v>45339</v>
      </c>
      <c r="H34" s="4">
        <f t="shared" si="0"/>
        <v>176</v>
      </c>
      <c r="I34" s="1"/>
      <c r="J34" s="1"/>
    </row>
    <row r="35" spans="1:10" x14ac:dyDescent="0.35">
      <c r="A35" s="9">
        <v>1034</v>
      </c>
      <c r="B35" s="9" t="s">
        <v>97</v>
      </c>
      <c r="C35" s="9" t="s">
        <v>50</v>
      </c>
      <c r="D35" s="9" t="s">
        <v>47</v>
      </c>
      <c r="E35" s="9">
        <v>17</v>
      </c>
      <c r="F35" s="9">
        <v>50</v>
      </c>
      <c r="G35" s="11">
        <v>45340</v>
      </c>
      <c r="H35" s="4">
        <f t="shared" si="0"/>
        <v>850</v>
      </c>
      <c r="I35" s="1"/>
      <c r="J35" s="1"/>
    </row>
    <row r="36" spans="1:10" x14ac:dyDescent="0.35">
      <c r="A36" s="9">
        <v>1035</v>
      </c>
      <c r="B36" s="9" t="s">
        <v>98</v>
      </c>
      <c r="C36" s="9" t="s">
        <v>54</v>
      </c>
      <c r="D36" s="9" t="s">
        <v>51</v>
      </c>
      <c r="E36" s="9">
        <v>19</v>
      </c>
      <c r="F36" s="9">
        <v>10</v>
      </c>
      <c r="G36" s="11">
        <v>45341</v>
      </c>
      <c r="H36" s="4">
        <f t="shared" si="0"/>
        <v>190</v>
      </c>
      <c r="I36" s="1"/>
      <c r="J36" s="1"/>
    </row>
    <row r="37" spans="1:10" x14ac:dyDescent="0.35">
      <c r="A37" s="9">
        <v>1036</v>
      </c>
      <c r="B37" s="9" t="s">
        <v>99</v>
      </c>
      <c r="C37" s="9" t="s">
        <v>57</v>
      </c>
      <c r="D37" s="9" t="s">
        <v>55</v>
      </c>
      <c r="E37" s="9">
        <v>15</v>
      </c>
      <c r="F37" s="9">
        <v>25</v>
      </c>
      <c r="G37" s="11">
        <v>45343</v>
      </c>
      <c r="H37" s="4">
        <f t="shared" si="0"/>
        <v>375</v>
      </c>
      <c r="I37" s="1"/>
      <c r="J37" s="1"/>
    </row>
    <row r="38" spans="1:10" x14ac:dyDescent="0.35">
      <c r="A38" s="9">
        <v>1037</v>
      </c>
      <c r="B38" s="9" t="s">
        <v>100</v>
      </c>
      <c r="C38" s="9" t="s">
        <v>46</v>
      </c>
      <c r="D38" s="9" t="s">
        <v>60</v>
      </c>
      <c r="E38" s="9">
        <v>28</v>
      </c>
      <c r="F38" s="9">
        <v>5</v>
      </c>
      <c r="G38" s="11">
        <v>45344</v>
      </c>
      <c r="H38" s="4">
        <f t="shared" si="0"/>
        <v>140</v>
      </c>
      <c r="I38" s="1"/>
      <c r="J38" s="1"/>
    </row>
    <row r="39" spans="1:10" x14ac:dyDescent="0.35">
      <c r="A39" s="9">
        <v>1038</v>
      </c>
      <c r="B39" s="9" t="s">
        <v>101</v>
      </c>
      <c r="C39" s="9" t="s">
        <v>50</v>
      </c>
      <c r="D39" s="9" t="s">
        <v>64</v>
      </c>
      <c r="E39" s="9">
        <v>24</v>
      </c>
      <c r="F39" s="9">
        <v>8</v>
      </c>
      <c r="G39" s="11">
        <v>45345</v>
      </c>
      <c r="H39" s="4">
        <f t="shared" si="0"/>
        <v>192</v>
      </c>
      <c r="I39" s="1"/>
      <c r="J39" s="1"/>
    </row>
    <row r="40" spans="1:10" x14ac:dyDescent="0.35">
      <c r="A40" s="9">
        <v>1039</v>
      </c>
      <c r="B40" s="9" t="s">
        <v>102</v>
      </c>
      <c r="C40" s="9" t="s">
        <v>54</v>
      </c>
      <c r="D40" s="9" t="s">
        <v>47</v>
      </c>
      <c r="E40" s="9">
        <v>16</v>
      </c>
      <c r="F40" s="9">
        <v>50</v>
      </c>
      <c r="G40" s="11">
        <v>45347</v>
      </c>
      <c r="H40" s="4">
        <f t="shared" si="0"/>
        <v>800</v>
      </c>
      <c r="I40" s="1"/>
      <c r="J40" s="1"/>
    </row>
    <row r="41" spans="1:10" x14ac:dyDescent="0.35">
      <c r="A41" s="9">
        <v>1040</v>
      </c>
      <c r="B41" s="9" t="s">
        <v>103</v>
      </c>
      <c r="C41" s="9" t="s">
        <v>57</v>
      </c>
      <c r="D41" s="9" t="s">
        <v>51</v>
      </c>
      <c r="E41" s="9">
        <v>27</v>
      </c>
      <c r="F41" s="9">
        <v>10</v>
      </c>
      <c r="G41" s="11">
        <v>45348</v>
      </c>
      <c r="H41" s="4">
        <f t="shared" si="0"/>
        <v>270</v>
      </c>
      <c r="I41" s="1"/>
      <c r="J41" s="1"/>
    </row>
    <row r="42" spans="1:10" x14ac:dyDescent="0.35">
      <c r="A42" s="9">
        <v>1041</v>
      </c>
      <c r="B42" s="9" t="s">
        <v>104</v>
      </c>
      <c r="C42" s="9" t="s">
        <v>46</v>
      </c>
      <c r="D42" s="9" t="s">
        <v>55</v>
      </c>
      <c r="E42" s="9">
        <v>21</v>
      </c>
      <c r="F42" s="9">
        <v>25</v>
      </c>
      <c r="G42" s="11">
        <v>45349</v>
      </c>
      <c r="H42" s="4">
        <f t="shared" si="0"/>
        <v>525</v>
      </c>
      <c r="I42" s="1"/>
      <c r="J42" s="1"/>
    </row>
    <row r="43" spans="1:10" x14ac:dyDescent="0.35">
      <c r="A43" s="9">
        <v>1042</v>
      </c>
      <c r="B43" s="9" t="s">
        <v>105</v>
      </c>
      <c r="C43" s="9" t="s">
        <v>50</v>
      </c>
      <c r="D43" s="9" t="s">
        <v>60</v>
      </c>
      <c r="E43" s="9">
        <v>30</v>
      </c>
      <c r="F43" s="9">
        <v>5</v>
      </c>
      <c r="G43" s="11">
        <v>45350</v>
      </c>
      <c r="H43" s="4">
        <f t="shared" si="0"/>
        <v>150</v>
      </c>
      <c r="I43" s="1"/>
      <c r="J43" s="1"/>
    </row>
    <row r="44" spans="1:10" x14ac:dyDescent="0.35">
      <c r="A44" s="9">
        <v>1043</v>
      </c>
      <c r="B44" s="9" t="s">
        <v>106</v>
      </c>
      <c r="C44" s="9" t="s">
        <v>54</v>
      </c>
      <c r="D44" s="9" t="s">
        <v>64</v>
      </c>
      <c r="E44" s="9">
        <v>26</v>
      </c>
      <c r="F44" s="9">
        <v>8</v>
      </c>
      <c r="G44" s="11">
        <v>45352</v>
      </c>
      <c r="H44" s="4">
        <f t="shared" si="0"/>
        <v>208</v>
      </c>
      <c r="I44" s="1"/>
      <c r="J44" s="1"/>
    </row>
    <row r="45" spans="1:10" x14ac:dyDescent="0.35">
      <c r="A45" s="9">
        <v>1044</v>
      </c>
      <c r="B45" s="9" t="s">
        <v>107</v>
      </c>
      <c r="C45" s="9" t="s">
        <v>57</v>
      </c>
      <c r="D45" s="9" t="s">
        <v>47</v>
      </c>
      <c r="E45" s="9">
        <v>14</v>
      </c>
      <c r="F45" s="9">
        <v>50</v>
      </c>
      <c r="G45" s="11">
        <v>45353</v>
      </c>
      <c r="H45" s="4">
        <f t="shared" si="0"/>
        <v>700</v>
      </c>
      <c r="I45" s="1"/>
      <c r="J45" s="1"/>
    </row>
    <row r="46" spans="1:10" x14ac:dyDescent="0.35">
      <c r="A46" s="9">
        <v>1045</v>
      </c>
      <c r="B46" s="9" t="s">
        <v>108</v>
      </c>
      <c r="C46" s="9" t="s">
        <v>46</v>
      </c>
      <c r="D46" s="9" t="s">
        <v>51</v>
      </c>
      <c r="E46" s="9">
        <v>20</v>
      </c>
      <c r="F46" s="9">
        <v>10</v>
      </c>
      <c r="G46" s="11">
        <v>45354</v>
      </c>
      <c r="H46" s="4">
        <f t="shared" si="0"/>
        <v>200</v>
      </c>
      <c r="I46" s="1"/>
      <c r="J46" s="1"/>
    </row>
    <row r="47" spans="1:10" x14ac:dyDescent="0.35">
      <c r="A47" s="9">
        <v>1046</v>
      </c>
      <c r="B47" s="9" t="s">
        <v>109</v>
      </c>
      <c r="C47" s="9" t="s">
        <v>50</v>
      </c>
      <c r="D47" s="9" t="s">
        <v>55</v>
      </c>
      <c r="E47" s="9">
        <v>17</v>
      </c>
      <c r="F47" s="9">
        <v>25</v>
      </c>
      <c r="G47" s="11">
        <v>45355</v>
      </c>
      <c r="H47" s="4">
        <f t="shared" si="0"/>
        <v>425</v>
      </c>
      <c r="I47" s="1"/>
      <c r="J47" s="1"/>
    </row>
    <row r="48" spans="1:10" x14ac:dyDescent="0.35">
      <c r="A48" s="9">
        <v>1047</v>
      </c>
      <c r="B48" s="9" t="s">
        <v>110</v>
      </c>
      <c r="C48" s="9" t="s">
        <v>54</v>
      </c>
      <c r="D48" s="9" t="s">
        <v>60</v>
      </c>
      <c r="E48" s="9">
        <v>19</v>
      </c>
      <c r="F48" s="9">
        <v>5</v>
      </c>
      <c r="G48" s="11">
        <v>45356</v>
      </c>
      <c r="H48" s="4">
        <f t="shared" si="0"/>
        <v>95</v>
      </c>
      <c r="I48" s="1"/>
      <c r="J48" s="1"/>
    </row>
    <row r="49" spans="1:10" x14ac:dyDescent="0.35">
      <c r="A49" s="9">
        <v>1048</v>
      </c>
      <c r="B49" s="9" t="s">
        <v>111</v>
      </c>
      <c r="C49" s="9" t="s">
        <v>57</v>
      </c>
      <c r="D49" s="9" t="s">
        <v>64</v>
      </c>
      <c r="E49" s="9">
        <v>32</v>
      </c>
      <c r="F49" s="9">
        <v>8</v>
      </c>
      <c r="G49" s="11">
        <v>45357</v>
      </c>
      <c r="H49" s="4">
        <f t="shared" si="0"/>
        <v>256</v>
      </c>
      <c r="I49" s="1"/>
      <c r="J49" s="1"/>
    </row>
    <row r="50" spans="1:10" x14ac:dyDescent="0.35">
      <c r="A50" s="9">
        <v>1049</v>
      </c>
      <c r="B50" s="9" t="s">
        <v>112</v>
      </c>
      <c r="C50" s="9" t="s">
        <v>46</v>
      </c>
      <c r="D50" s="9" t="s">
        <v>47</v>
      </c>
      <c r="E50" s="9">
        <v>12</v>
      </c>
      <c r="F50" s="9">
        <v>50</v>
      </c>
      <c r="G50" s="11">
        <v>45358</v>
      </c>
      <c r="H50" s="4">
        <f t="shared" si="0"/>
        <v>600</v>
      </c>
      <c r="I50" s="1"/>
      <c r="J50" s="1"/>
    </row>
    <row r="51" spans="1:10" x14ac:dyDescent="0.35">
      <c r="A51" s="9">
        <v>1050</v>
      </c>
      <c r="B51" s="9" t="s">
        <v>113</v>
      </c>
      <c r="C51" s="9" t="s">
        <v>50</v>
      </c>
      <c r="D51" s="9" t="s">
        <v>51</v>
      </c>
      <c r="E51" s="9">
        <v>25</v>
      </c>
      <c r="F51" s="9">
        <v>10</v>
      </c>
      <c r="G51" s="11">
        <v>45359</v>
      </c>
      <c r="H51" s="4">
        <f t="shared" si="0"/>
        <v>250</v>
      </c>
      <c r="I51" s="1"/>
      <c r="J51" s="1"/>
    </row>
  </sheetData>
  <mergeCells count="4">
    <mergeCell ref="K2:L2"/>
    <mergeCell ref="K6:L7"/>
    <mergeCell ref="K11:L11"/>
    <mergeCell ref="K9:L9"/>
  </mergeCells>
  <pageMargins left="0.7" right="0.7" top="0.75" bottom="0.75" header="0.3" footer="0.3"/>
  <pageSetup paperSize="9" fitToWidth="0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Q1</vt:lpstr>
      <vt:lpstr>Q2,3</vt:lpstr>
      <vt:lpstr>Q4</vt:lpstr>
      <vt:lpstr>'Q1'!Print_Area</vt:lpstr>
      <vt:lpstr>'Q2,3'!Print_Area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Arpan sen</dc:creator>
  <cp:keywords/>
  <dc:description/>
  <cp:lastModifiedBy>Arpan sen</cp:lastModifiedBy>
  <cp:revision/>
  <dcterms:created xsi:type="dcterms:W3CDTF">2026-01-07T09:52:40Z</dcterms:created>
  <dcterms:modified xsi:type="dcterms:W3CDTF">2026-01-11T17:18:30Z</dcterms:modified>
  <cp:category/>
  <cp:contentStatus/>
</cp:coreProperties>
</file>